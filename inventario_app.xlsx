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dvillalobos\Desktop\INVENTARIOS_APP\"/>
    </mc:Choice>
  </mc:AlternateContent>
  <xr:revisionPtr revIDLastSave="0" documentId="13_ncr:1_{941929CB-E24B-477E-BE34-7B35F4F32868}" xr6:coauthVersionLast="47" xr6:coauthVersionMax="47" xr10:uidLastSave="{00000000-0000-0000-0000-000000000000}"/>
  <bookViews>
    <workbookView xWindow="1860" yWindow="1860" windowWidth="14400" windowHeight="8170" tabRatio="822" xr2:uid="{00000000-000D-0000-FFFF-FFFF00000000}"/>
  </bookViews>
  <sheets>
    <sheet name="MATERIALES" sheetId="1" r:id="rId1"/>
    <sheet name="HACIENDAS" sheetId="2" r:id="rId2"/>
    <sheet name="USUARIOS" sheetId="3" r:id="rId3"/>
    <sheet name="ENTRADAS" sheetId="4" r:id="rId4"/>
    <sheet name="CONSUMOS" sheetId="5" r:id="rId5"/>
    <sheet name="AJUSTES" sheetId="6" r:id="rId6"/>
    <sheet name="INVENTARIO" sheetId="7" r:id="rId7"/>
    <sheet name="LEEME" sheetId="8" r:id="rId8"/>
  </sheets>
  <definedNames>
    <definedName name="_xlnm._FilterDatabase" localSheetId="5" hidden="1">AJUSTES!$A$1:$H$1</definedName>
    <definedName name="_xlnm._FilterDatabase" localSheetId="4" hidden="1">CONSUMOS!$A$1:$L$1</definedName>
    <definedName name="_xlnm._FilterDatabase" localSheetId="3" hidden="1">ENTRADAS!$A$1:$K$1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F27" i="7" l="1"/>
  <c r="E27" i="7"/>
  <c r="D27" i="7"/>
  <c r="F26" i="7"/>
  <c r="E26" i="7"/>
  <c r="D26" i="7"/>
  <c r="F25" i="7"/>
  <c r="E25" i="7"/>
  <c r="D25" i="7"/>
  <c r="F24" i="7"/>
  <c r="E24" i="7"/>
  <c r="D24" i="7"/>
  <c r="F23" i="7"/>
  <c r="E23" i="7"/>
  <c r="D23" i="7"/>
  <c r="F22" i="7"/>
  <c r="E22" i="7"/>
  <c r="D22" i="7"/>
  <c r="F21" i="7"/>
  <c r="E21" i="7"/>
  <c r="D21" i="7"/>
  <c r="F20" i="7"/>
  <c r="E20" i="7"/>
  <c r="D20" i="7"/>
  <c r="F19" i="7"/>
  <c r="E19" i="7"/>
  <c r="D19" i="7"/>
  <c r="F18" i="7"/>
  <c r="E18" i="7"/>
  <c r="D18" i="7"/>
  <c r="F17" i="7"/>
  <c r="E17" i="7"/>
  <c r="D17" i="7"/>
  <c r="F16" i="7"/>
  <c r="E16" i="7"/>
  <c r="D16" i="7"/>
  <c r="F15" i="7"/>
  <c r="E15" i="7"/>
  <c r="D15" i="7"/>
  <c r="F14" i="7"/>
  <c r="E14" i="7"/>
  <c r="D14" i="7"/>
  <c r="F13" i="7"/>
  <c r="E13" i="7"/>
  <c r="D13" i="7"/>
  <c r="F12" i="7"/>
  <c r="E12" i="7"/>
  <c r="D12" i="7"/>
  <c r="F11" i="7"/>
  <c r="E11" i="7"/>
  <c r="D11" i="7"/>
  <c r="F10" i="7"/>
  <c r="E10" i="7"/>
  <c r="D10" i="7"/>
  <c r="F9" i="7"/>
  <c r="E9" i="7"/>
  <c r="D9" i="7"/>
  <c r="F8" i="7"/>
  <c r="E8" i="7"/>
  <c r="D8" i="7"/>
  <c r="F7" i="7"/>
  <c r="E7" i="7"/>
  <c r="D7" i="7"/>
  <c r="F6" i="7"/>
  <c r="E6" i="7"/>
  <c r="D6" i="7"/>
  <c r="F5" i="7"/>
  <c r="E5" i="7"/>
  <c r="D5" i="7"/>
  <c r="F4" i="7"/>
  <c r="E4" i="7"/>
  <c r="D4" i="7"/>
  <c r="F3" i="7"/>
  <c r="E3" i="7"/>
  <c r="D3" i="7"/>
  <c r="F2" i="7"/>
  <c r="E2" i="7"/>
  <c r="D2" i="7"/>
  <c r="G7" i="7" l="1"/>
  <c r="G26" i="7"/>
  <c r="J26" i="7" s="1"/>
  <c r="G3" i="7"/>
  <c r="I3" i="7" s="1"/>
  <c r="G17" i="7"/>
  <c r="J17" i="7" s="1"/>
  <c r="G25" i="7"/>
  <c r="I25" i="7" s="1"/>
  <c r="G4" i="7"/>
  <c r="J4" i="7" s="1"/>
  <c r="G11" i="7"/>
  <c r="J11" i="7" s="1"/>
  <c r="G13" i="7"/>
  <c r="I13" i="7" s="1"/>
  <c r="G27" i="7"/>
  <c r="J27" i="7" s="1"/>
  <c r="G21" i="7"/>
  <c r="J21" i="7" s="1"/>
  <c r="G23" i="7"/>
  <c r="J23" i="7" s="1"/>
  <c r="G18" i="7"/>
  <c r="J18" i="7" s="1"/>
  <c r="G14" i="7"/>
  <c r="I14" i="7" s="1"/>
  <c r="G6" i="7"/>
  <c r="I6" i="7" s="1"/>
  <c r="G20" i="7"/>
  <c r="I20" i="7" s="1"/>
  <c r="G10" i="7"/>
  <c r="I10" i="7" s="1"/>
  <c r="G24" i="7"/>
  <c r="I24" i="7" s="1"/>
  <c r="G2" i="7"/>
  <c r="J2" i="7" s="1"/>
  <c r="G16" i="7"/>
  <c r="J16" i="7" s="1"/>
  <c r="G12" i="7"/>
  <c r="J12" i="7" s="1"/>
  <c r="G8" i="7"/>
  <c r="J8" i="7" s="1"/>
  <c r="G9" i="7"/>
  <c r="J9" i="7" s="1"/>
  <c r="G22" i="7"/>
  <c r="J22" i="7" s="1"/>
  <c r="G5" i="7"/>
  <c r="I5" i="7" s="1"/>
  <c r="G19" i="7"/>
  <c r="J19" i="7" s="1"/>
  <c r="G15" i="7"/>
  <c r="J15" i="7" s="1"/>
  <c r="I7" i="7"/>
  <c r="J7" i="7"/>
  <c r="I26" i="7" l="1"/>
  <c r="I4" i="7"/>
  <c r="J3" i="7"/>
  <c r="J13" i="7"/>
  <c r="I23" i="7"/>
  <c r="I17" i="7"/>
  <c r="J25" i="7"/>
  <c r="J14" i="7"/>
  <c r="I27" i="7"/>
  <c r="I11" i="7"/>
  <c r="I18" i="7"/>
  <c r="J20" i="7"/>
  <c r="J6" i="7"/>
  <c r="I12" i="7"/>
  <c r="I2" i="7"/>
  <c r="I21" i="7"/>
  <c r="J10" i="7"/>
  <c r="J24" i="7"/>
  <c r="I16" i="7"/>
  <c r="J5" i="7"/>
  <c r="I19" i="7"/>
  <c r="I22" i="7"/>
  <c r="I15" i="7"/>
  <c r="I8" i="7"/>
  <c r="I9" i="7"/>
</calcChain>
</file>

<file path=xl/sharedStrings.xml><?xml version="1.0" encoding="utf-8"?>
<sst xmlns="http://schemas.openxmlformats.org/spreadsheetml/2006/main" count="2162" uniqueCount="1399">
  <si>
    <t>ID_MATERIAL</t>
  </si>
  <si>
    <t>CODIGO</t>
  </si>
  <si>
    <t>DESCRIPCION_CORTA</t>
  </si>
  <si>
    <t>DESCRIPCION_LARGA</t>
  </si>
  <si>
    <t>UNIDAD</t>
  </si>
  <si>
    <t>LONGITUD</t>
  </si>
  <si>
    <t>PRECIO_UNITARIO</t>
  </si>
  <si>
    <t>STOCK_MINIMO</t>
  </si>
  <si>
    <t>ACTIVO</t>
  </si>
  <si>
    <t>ROLLO</t>
  </si>
  <si>
    <t>SI</t>
  </si>
  <si>
    <t>PZA</t>
  </si>
  <si>
    <t>CODIGO_HACIENDA</t>
  </si>
  <si>
    <t>NOMBRE_HACIENDA</t>
  </si>
  <si>
    <t>PROVEEDOR</t>
  </si>
  <si>
    <t>080098</t>
  </si>
  <si>
    <t>HACIENDAS SIN SUERTES</t>
  </si>
  <si>
    <t>8000000585</t>
  </si>
  <si>
    <t>080100</t>
  </si>
  <si>
    <t>LA PERLA EMPRESA</t>
  </si>
  <si>
    <t>080101</t>
  </si>
  <si>
    <t>PROVIDENCIA</t>
  </si>
  <si>
    <t>080102</t>
  </si>
  <si>
    <t>LA PAZ</t>
  </si>
  <si>
    <t>080103</t>
  </si>
  <si>
    <t>LA AURORA</t>
  </si>
  <si>
    <t>080104</t>
  </si>
  <si>
    <t>SAMARIA</t>
  </si>
  <si>
    <t>080105</t>
  </si>
  <si>
    <t>EL ALIZAL</t>
  </si>
  <si>
    <t>080106</t>
  </si>
  <si>
    <t>SAN JERONIMO</t>
  </si>
  <si>
    <t>080107</t>
  </si>
  <si>
    <t>CAPRI</t>
  </si>
  <si>
    <t>080108</t>
  </si>
  <si>
    <t>BETANIA</t>
  </si>
  <si>
    <t>080109</t>
  </si>
  <si>
    <t>GALICIA</t>
  </si>
  <si>
    <t>080110</t>
  </si>
  <si>
    <t>CHONTADURO</t>
  </si>
  <si>
    <t>080111</t>
  </si>
  <si>
    <t>LA ARGELIA</t>
  </si>
  <si>
    <t>080112</t>
  </si>
  <si>
    <t>LA PRIMAVERA</t>
  </si>
  <si>
    <t>080113</t>
  </si>
  <si>
    <t>LA ESMERALDA</t>
  </si>
  <si>
    <t>080114</t>
  </si>
  <si>
    <t>MARSELLA</t>
  </si>
  <si>
    <t>080115</t>
  </si>
  <si>
    <t>CANTALAMOTA</t>
  </si>
  <si>
    <t>080116</t>
  </si>
  <si>
    <t>EL JAPON</t>
  </si>
  <si>
    <t>080117</t>
  </si>
  <si>
    <t>EL GUABITO EMPRESA</t>
  </si>
  <si>
    <t>080118</t>
  </si>
  <si>
    <t>JERICO</t>
  </si>
  <si>
    <t>080120</t>
  </si>
  <si>
    <t>EL PALMAR INGENIO</t>
  </si>
  <si>
    <t>080121</t>
  </si>
  <si>
    <t>PIEDECHINCHE</t>
  </si>
  <si>
    <t>080122</t>
  </si>
  <si>
    <t>LA MARIA INGENIO</t>
  </si>
  <si>
    <t>080123</t>
  </si>
  <si>
    <t>ZABALETAS CORPORACION</t>
  </si>
  <si>
    <t>080124</t>
  </si>
  <si>
    <t>SANTA LUCIA</t>
  </si>
  <si>
    <t>080125</t>
  </si>
  <si>
    <t>LA CEIBA</t>
  </si>
  <si>
    <t>080126</t>
  </si>
  <si>
    <t>EL JARDIN</t>
  </si>
  <si>
    <t>080127</t>
  </si>
  <si>
    <t>EL OVIEDO EMPRESA</t>
  </si>
  <si>
    <t>080128</t>
  </si>
  <si>
    <t>LA INMACULADA CONCEPCION</t>
  </si>
  <si>
    <t>080129</t>
  </si>
  <si>
    <t>VILLA MERCEDES</t>
  </si>
  <si>
    <t>080130</t>
  </si>
  <si>
    <t>EL RANCHO EMPRESA</t>
  </si>
  <si>
    <t>080131</t>
  </si>
  <si>
    <t>LA ITALIA EMPRESA</t>
  </si>
  <si>
    <t>080132</t>
  </si>
  <si>
    <t>EL CARMEN EMPRESA</t>
  </si>
  <si>
    <t>080133</t>
  </si>
  <si>
    <t>LA OVEJERA EMPRESA</t>
  </si>
  <si>
    <t>080134</t>
  </si>
  <si>
    <t>SAN MIGUEL EMPRESA</t>
  </si>
  <si>
    <t>082503</t>
  </si>
  <si>
    <t>ZABALETAS EMPRESA</t>
  </si>
  <si>
    <t>082506</t>
  </si>
  <si>
    <t>EL HIGUERON EMPRESA</t>
  </si>
  <si>
    <t>082515</t>
  </si>
  <si>
    <t>EL FARO EMPRESA</t>
  </si>
  <si>
    <t>082545</t>
  </si>
  <si>
    <t>LA AURORA 2</t>
  </si>
  <si>
    <t>082546</t>
  </si>
  <si>
    <t>LA AURORA 3</t>
  </si>
  <si>
    <t>082552</t>
  </si>
  <si>
    <t>EL ALBION EMPRESA</t>
  </si>
  <si>
    <t>082564</t>
  </si>
  <si>
    <t>BARCELONA</t>
  </si>
  <si>
    <t>082599</t>
  </si>
  <si>
    <t>PIEDECHINCHE CACAO</t>
  </si>
  <si>
    <t>082600</t>
  </si>
  <si>
    <t>LA BETULIA</t>
  </si>
  <si>
    <t>080136</t>
  </si>
  <si>
    <t>PINAMAR</t>
  </si>
  <si>
    <t>8000013525</t>
  </si>
  <si>
    <t>080150</t>
  </si>
  <si>
    <t>SAN MARINO</t>
  </si>
  <si>
    <t>8000011358</t>
  </si>
  <si>
    <t>080155</t>
  </si>
  <si>
    <t>LA ISABELA QUINTERO</t>
  </si>
  <si>
    <t>8000009735</t>
  </si>
  <si>
    <t>080194</t>
  </si>
  <si>
    <t>EL LIMONAR TESORITO</t>
  </si>
  <si>
    <t>8000008125</t>
  </si>
  <si>
    <t>080218</t>
  </si>
  <si>
    <t>MARIA CLAUDIA</t>
  </si>
  <si>
    <t>8000011995</t>
  </si>
  <si>
    <t>080287</t>
  </si>
  <si>
    <t>EL TABLAZO RENGIFO</t>
  </si>
  <si>
    <t>8000000900</t>
  </si>
  <si>
    <t>080293</t>
  </si>
  <si>
    <t>LA LECHERIA</t>
  </si>
  <si>
    <t>8000008190</t>
  </si>
  <si>
    <t>082501</t>
  </si>
  <si>
    <t xml:space="preserve">LOTE 4 LA PERLA </t>
  </si>
  <si>
    <t>8000010380</t>
  </si>
  <si>
    <t>082512</t>
  </si>
  <si>
    <t>JOSEPILLA II</t>
  </si>
  <si>
    <t>8000007992</t>
  </si>
  <si>
    <t>082517</t>
  </si>
  <si>
    <t>LA ISABELA PRODISER</t>
  </si>
  <si>
    <t>8000011925</t>
  </si>
  <si>
    <t>082522</t>
  </si>
  <si>
    <t>SAN MARINO LOTE 2 y 3</t>
  </si>
  <si>
    <t>8000011990</t>
  </si>
  <si>
    <t>082523</t>
  </si>
  <si>
    <t>SAN MARINO LOTE 4</t>
  </si>
  <si>
    <t>8000011980</t>
  </si>
  <si>
    <t>080135</t>
  </si>
  <si>
    <t>SAN JOAQUIN</t>
  </si>
  <si>
    <t>8000009815</t>
  </si>
  <si>
    <t>080138</t>
  </si>
  <si>
    <t>MIRALINDO</t>
  </si>
  <si>
    <t>8000013120</t>
  </si>
  <si>
    <t>080139</t>
  </si>
  <si>
    <t>LA ALDEA CABAL</t>
  </si>
  <si>
    <t>8000007465</t>
  </si>
  <si>
    <t>080140</t>
  </si>
  <si>
    <t>SOLEDAD PARAISO</t>
  </si>
  <si>
    <t>8000011441</t>
  </si>
  <si>
    <t>080142</t>
  </si>
  <si>
    <t>LA CECILIA TENORIO</t>
  </si>
  <si>
    <t>8000002669</t>
  </si>
  <si>
    <t>080143</t>
  </si>
  <si>
    <t>LA MARIA MEJIA</t>
  </si>
  <si>
    <t>8000011949</t>
  </si>
  <si>
    <t>080151</t>
  </si>
  <si>
    <t>SAN PABLO AZCARATE</t>
  </si>
  <si>
    <t>8000011794</t>
  </si>
  <si>
    <t>080152</t>
  </si>
  <si>
    <t>QUEJADOR ARAUCA</t>
  </si>
  <si>
    <t>8000009311</t>
  </si>
  <si>
    <t>080153</t>
  </si>
  <si>
    <t>LA LOMA</t>
  </si>
  <si>
    <t>080154</t>
  </si>
  <si>
    <t>SAN FELIPE MESA</t>
  </si>
  <si>
    <t>8000014325</t>
  </si>
  <si>
    <t>080156</t>
  </si>
  <si>
    <t>LA LIDA ADIELA</t>
  </si>
  <si>
    <t>8000009879</t>
  </si>
  <si>
    <t>080157</t>
  </si>
  <si>
    <t>PALO ALTO PATRICIA</t>
  </si>
  <si>
    <t>8000012380</t>
  </si>
  <si>
    <t>080158</t>
  </si>
  <si>
    <t>PALO ALTO ADIELA</t>
  </si>
  <si>
    <t>080159</t>
  </si>
  <si>
    <t>PALO ALTO RUBEN</t>
  </si>
  <si>
    <t>8000013137</t>
  </si>
  <si>
    <t>080162</t>
  </si>
  <si>
    <t>RANCHO ALEGRE VILLALOBOS</t>
  </si>
  <si>
    <t>8000000871</t>
  </si>
  <si>
    <t>080164</t>
  </si>
  <si>
    <t>MALIBU</t>
  </si>
  <si>
    <t>8000012355</t>
  </si>
  <si>
    <t>080165</t>
  </si>
  <si>
    <t xml:space="preserve">LA MANSION CARMEN </t>
  </si>
  <si>
    <t>8000012836</t>
  </si>
  <si>
    <t>080166</t>
  </si>
  <si>
    <t>LA PALOMERA OSORIO</t>
  </si>
  <si>
    <t>8000002875</t>
  </si>
  <si>
    <t>080167</t>
  </si>
  <si>
    <t>EL PRADO FERRO</t>
  </si>
  <si>
    <t>8000012427</t>
  </si>
  <si>
    <t>080169</t>
  </si>
  <si>
    <t>EL RINCON DORRONSORO</t>
  </si>
  <si>
    <t>8000009772</t>
  </si>
  <si>
    <t>080170</t>
  </si>
  <si>
    <t>LOTE ARZAYUZ DIEGO DORRONSORO</t>
  </si>
  <si>
    <t>8000010967</t>
  </si>
  <si>
    <t>080171</t>
  </si>
  <si>
    <t>SAN CARLOS CLARA - MADRIGAL</t>
  </si>
  <si>
    <t>8000010960</t>
  </si>
  <si>
    <t>080172</t>
  </si>
  <si>
    <t>MALAGANA MARTHA</t>
  </si>
  <si>
    <t>8000012372</t>
  </si>
  <si>
    <t>080173</t>
  </si>
  <si>
    <t>EL TESORITO</t>
  </si>
  <si>
    <t>8000003180</t>
  </si>
  <si>
    <t>080174</t>
  </si>
  <si>
    <t>MEDIACANOA</t>
  </si>
  <si>
    <t>8000011904</t>
  </si>
  <si>
    <t>080175</t>
  </si>
  <si>
    <t>EL LIBANO MENDOZA</t>
  </si>
  <si>
    <t>8000011629</t>
  </si>
  <si>
    <t>080176</t>
  </si>
  <si>
    <t>LA VICTORIA</t>
  </si>
  <si>
    <t>8000011170</t>
  </si>
  <si>
    <t>080177</t>
  </si>
  <si>
    <t>EL MANGON DELGADO</t>
  </si>
  <si>
    <t>8000003270</t>
  </si>
  <si>
    <t>080178</t>
  </si>
  <si>
    <t>LA JAUJA</t>
  </si>
  <si>
    <t>8000003273</t>
  </si>
  <si>
    <t>080179</t>
  </si>
  <si>
    <t>SAN ALFONSO</t>
  </si>
  <si>
    <t>8000003378</t>
  </si>
  <si>
    <t>080181</t>
  </si>
  <si>
    <t xml:space="preserve">SAN MIGUEL 3 </t>
  </si>
  <si>
    <t>8000002066</t>
  </si>
  <si>
    <t>080185</t>
  </si>
  <si>
    <t>EL ANTOJO SANCHEZ</t>
  </si>
  <si>
    <t>8000002315</t>
  </si>
  <si>
    <t>080186</t>
  </si>
  <si>
    <t>LA MERCED GARCES</t>
  </si>
  <si>
    <t>8000014229</t>
  </si>
  <si>
    <t>080192</t>
  </si>
  <si>
    <t>EL REFUGIO LINCE</t>
  </si>
  <si>
    <t>8000007458</t>
  </si>
  <si>
    <t>080193</t>
  </si>
  <si>
    <t>SAN JOSE MILAGROSO</t>
  </si>
  <si>
    <t>8000008120</t>
  </si>
  <si>
    <t>080195</t>
  </si>
  <si>
    <t>LOTE SAA</t>
  </si>
  <si>
    <t>8000001042</t>
  </si>
  <si>
    <t>080196</t>
  </si>
  <si>
    <t xml:space="preserve">LOTE SUCROAL </t>
  </si>
  <si>
    <t>8000009789</t>
  </si>
  <si>
    <t>080197</t>
  </si>
  <si>
    <t>EL LIBANO 2</t>
  </si>
  <si>
    <t>8000008557</t>
  </si>
  <si>
    <t>080201</t>
  </si>
  <si>
    <t xml:space="preserve">SOLEDAD MARIA CECILIA </t>
  </si>
  <si>
    <t>8000000795</t>
  </si>
  <si>
    <t>080202</t>
  </si>
  <si>
    <t>EL BRILLANTE  BORDA</t>
  </si>
  <si>
    <t>8000000662</t>
  </si>
  <si>
    <t>080203</t>
  </si>
  <si>
    <t>EL AMPARO SAA</t>
  </si>
  <si>
    <t>8000000833</t>
  </si>
  <si>
    <t>080205</t>
  </si>
  <si>
    <t>LA ALSACIA</t>
  </si>
  <si>
    <t>8000000631</t>
  </si>
  <si>
    <t>080206</t>
  </si>
  <si>
    <t>SAN JUANITO SINISTERRA</t>
  </si>
  <si>
    <t>8000000639</t>
  </si>
  <si>
    <t>080211</t>
  </si>
  <si>
    <t>LA NARANJA</t>
  </si>
  <si>
    <t>8000000675</t>
  </si>
  <si>
    <t>080213</t>
  </si>
  <si>
    <t>EL TERRONAL</t>
  </si>
  <si>
    <t>080214</t>
  </si>
  <si>
    <t>MONTEOSCURO LOTE 1</t>
  </si>
  <si>
    <t>8000001650</t>
  </si>
  <si>
    <t>080219</t>
  </si>
  <si>
    <t>EL RODERO</t>
  </si>
  <si>
    <t>8000001499</t>
  </si>
  <si>
    <t>080220</t>
  </si>
  <si>
    <t>EL ANTOJO ORTIZ</t>
  </si>
  <si>
    <t>8000008075</t>
  </si>
  <si>
    <t>080222</t>
  </si>
  <si>
    <t>EL ROSARIO A.CABAL</t>
  </si>
  <si>
    <t>8000000665</t>
  </si>
  <si>
    <t>080227</t>
  </si>
  <si>
    <t>SAN JOSE DEL HATO</t>
  </si>
  <si>
    <t>080228</t>
  </si>
  <si>
    <t>EL OVIEDO  VILLALOBOS</t>
  </si>
  <si>
    <t>080230</t>
  </si>
  <si>
    <t>LA CECILIA CHAVEZ</t>
  </si>
  <si>
    <t>8000001858</t>
  </si>
  <si>
    <t>080231</t>
  </si>
  <si>
    <t xml:space="preserve">CORCEGA </t>
  </si>
  <si>
    <t>8000000923</t>
  </si>
  <si>
    <t>080232</t>
  </si>
  <si>
    <t>LA OVEJERA 2</t>
  </si>
  <si>
    <t>080234</t>
  </si>
  <si>
    <t>LA RAMADA</t>
  </si>
  <si>
    <t>8000000803</t>
  </si>
  <si>
    <t>080236</t>
  </si>
  <si>
    <t>LA MENDA6A-LOS CABAL</t>
  </si>
  <si>
    <t>8000000737</t>
  </si>
  <si>
    <t>080238</t>
  </si>
  <si>
    <t>LA EMILIA 3</t>
  </si>
  <si>
    <t>8000008439</t>
  </si>
  <si>
    <t>080240</t>
  </si>
  <si>
    <t>LA TRAMPA.</t>
  </si>
  <si>
    <t>8000000660</t>
  </si>
  <si>
    <t>080244</t>
  </si>
  <si>
    <t>EL HIGUERON LINCE</t>
  </si>
  <si>
    <t>8000012235</t>
  </si>
  <si>
    <t>080247</t>
  </si>
  <si>
    <t>MONTE OSCURO.</t>
  </si>
  <si>
    <t>080250</t>
  </si>
  <si>
    <t>PALOBLANCO 3 GONZALE</t>
  </si>
  <si>
    <t>8000014304</t>
  </si>
  <si>
    <t>080252</t>
  </si>
  <si>
    <t>LA LIDA MARIA</t>
  </si>
  <si>
    <t>8000009906</t>
  </si>
  <si>
    <t>080253</t>
  </si>
  <si>
    <t>PALO ALTO ANGELA</t>
  </si>
  <si>
    <t>8000012370</t>
  </si>
  <si>
    <t>080257</t>
  </si>
  <si>
    <t>MALAGANA LOTE 1</t>
  </si>
  <si>
    <t>8000000651</t>
  </si>
  <si>
    <t>080261</t>
  </si>
  <si>
    <t>LA CRISTALINA-TORRE LUNERA</t>
  </si>
  <si>
    <t>8000000784</t>
  </si>
  <si>
    <t>080266</t>
  </si>
  <si>
    <t>LA CHIQUITA</t>
  </si>
  <si>
    <t>8000009194</t>
  </si>
  <si>
    <t>080269</t>
  </si>
  <si>
    <t>CANTACLARO</t>
  </si>
  <si>
    <t>8000000731</t>
  </si>
  <si>
    <t>080270</t>
  </si>
  <si>
    <t>LA ALDEA ADIELA</t>
  </si>
  <si>
    <t>080274</t>
  </si>
  <si>
    <t>LA ESPERANZA MEJIA</t>
  </si>
  <si>
    <t>080275</t>
  </si>
  <si>
    <t xml:space="preserve">MIRRINAQUE </t>
  </si>
  <si>
    <t>8000009857</t>
  </si>
  <si>
    <t>080276</t>
  </si>
  <si>
    <t>EL SAMAN</t>
  </si>
  <si>
    <t>8000000875</t>
  </si>
  <si>
    <t>080277</t>
  </si>
  <si>
    <t>BUENOS AIRES</t>
  </si>
  <si>
    <t>8000013586</t>
  </si>
  <si>
    <t>080280</t>
  </si>
  <si>
    <t>LA MARIA GOMEZ</t>
  </si>
  <si>
    <t>8000007886</t>
  </si>
  <si>
    <t>080281</t>
  </si>
  <si>
    <t>SAN JOSE GARCES</t>
  </si>
  <si>
    <t>8000003445</t>
  </si>
  <si>
    <t>080284</t>
  </si>
  <si>
    <t>SAN GERARDO TORRES</t>
  </si>
  <si>
    <t>8000000903</t>
  </si>
  <si>
    <t>080285</t>
  </si>
  <si>
    <t>VILLA INES</t>
  </si>
  <si>
    <t>8000000907</t>
  </si>
  <si>
    <t>080289</t>
  </si>
  <si>
    <t>EL CARMEN MEJIA</t>
  </si>
  <si>
    <t>8000010630</t>
  </si>
  <si>
    <t>080290</t>
  </si>
  <si>
    <t>LA EMILIA 2</t>
  </si>
  <si>
    <t>080291</t>
  </si>
  <si>
    <t>JAMAICA ABADIA</t>
  </si>
  <si>
    <t>8000000990</t>
  </si>
  <si>
    <t>080295</t>
  </si>
  <si>
    <t>MONTE OSCURO INES</t>
  </si>
  <si>
    <t>8000000370</t>
  </si>
  <si>
    <t>080296</t>
  </si>
  <si>
    <t>LA CARMELA PIEDRAHITA</t>
  </si>
  <si>
    <t>8000001325</t>
  </si>
  <si>
    <t>080298</t>
  </si>
  <si>
    <t>JAVA</t>
  </si>
  <si>
    <t>8000001781</t>
  </si>
  <si>
    <t>080299</t>
  </si>
  <si>
    <t>EL ESPEJO</t>
  </si>
  <si>
    <t>8000001475</t>
  </si>
  <si>
    <t>082502</t>
  </si>
  <si>
    <t>SALAMANCA</t>
  </si>
  <si>
    <t>8000013527</t>
  </si>
  <si>
    <t>082508</t>
  </si>
  <si>
    <t>LA BAMBA</t>
  </si>
  <si>
    <t>8000010954</t>
  </si>
  <si>
    <t>082509</t>
  </si>
  <si>
    <t>SAN CARLOS-ELSA LA CARTUJA</t>
  </si>
  <si>
    <t>8000010953</t>
  </si>
  <si>
    <t>082510</t>
  </si>
  <si>
    <t>EL CARMEN VELASCO</t>
  </si>
  <si>
    <t>8000011066</t>
  </si>
  <si>
    <t>082511</t>
  </si>
  <si>
    <t>VILLA CLARA</t>
  </si>
  <si>
    <t>8000000870</t>
  </si>
  <si>
    <t>082513</t>
  </si>
  <si>
    <t>EL TREBOL HOLGUIN</t>
  </si>
  <si>
    <t>8000010740</t>
  </si>
  <si>
    <t>082514</t>
  </si>
  <si>
    <t>EL VERGEL 1 CUCALON</t>
  </si>
  <si>
    <t>8000002491</t>
  </si>
  <si>
    <t>082516</t>
  </si>
  <si>
    <t>LOS SAMANES</t>
  </si>
  <si>
    <t>8000002609</t>
  </si>
  <si>
    <t>082518</t>
  </si>
  <si>
    <t>EL LIBANO 3</t>
  </si>
  <si>
    <t>8000011902</t>
  </si>
  <si>
    <t>082519</t>
  </si>
  <si>
    <t>EL LIBANO 4</t>
  </si>
  <si>
    <t>082520</t>
  </si>
  <si>
    <t>EL LIBANO 5</t>
  </si>
  <si>
    <t>8000011920</t>
  </si>
  <si>
    <t>082521</t>
  </si>
  <si>
    <t>EL LIBANO 6</t>
  </si>
  <si>
    <t>082525</t>
  </si>
  <si>
    <t>LA PALOMERA MARTHA</t>
  </si>
  <si>
    <t>082526</t>
  </si>
  <si>
    <t>LA PALOMERA BEATRIZ</t>
  </si>
  <si>
    <t>8000012404</t>
  </si>
  <si>
    <t>082527</t>
  </si>
  <si>
    <t>LA MANSION 1 SANCLEMENTE</t>
  </si>
  <si>
    <t>8000008094</t>
  </si>
  <si>
    <t>082528</t>
  </si>
  <si>
    <t>LA MANSION 2 CARLOS</t>
  </si>
  <si>
    <t>8000002607</t>
  </si>
  <si>
    <t>082529</t>
  </si>
  <si>
    <t>PAMPAMA</t>
  </si>
  <si>
    <t>8000011787</t>
  </si>
  <si>
    <t>082530</t>
  </si>
  <si>
    <t>ARAUCA</t>
  </si>
  <si>
    <t>082531</t>
  </si>
  <si>
    <t>LA LINDA</t>
  </si>
  <si>
    <t>082532</t>
  </si>
  <si>
    <t>EL BOLO MORROCO</t>
  </si>
  <si>
    <t>8000012477</t>
  </si>
  <si>
    <t>082533</t>
  </si>
  <si>
    <t>EL LIBANO 7</t>
  </si>
  <si>
    <t>082534</t>
  </si>
  <si>
    <t>KANDA LOTE 3 TOSHIRO</t>
  </si>
  <si>
    <t>8000009904</t>
  </si>
  <si>
    <t>082535</t>
  </si>
  <si>
    <t>KANDA LOTE 4 SAMUEL</t>
  </si>
  <si>
    <t>8000009908</t>
  </si>
  <si>
    <t>082536</t>
  </si>
  <si>
    <t>EL SANTUARIO</t>
  </si>
  <si>
    <t>8000007456</t>
  </si>
  <si>
    <t>082537</t>
  </si>
  <si>
    <t>MONTEOSCURO  LOTE 2</t>
  </si>
  <si>
    <t>8000013456</t>
  </si>
  <si>
    <t>082538</t>
  </si>
  <si>
    <t>MONTEOSCURO LOTE 3</t>
  </si>
  <si>
    <t>8000013246</t>
  </si>
  <si>
    <t>082539</t>
  </si>
  <si>
    <t xml:space="preserve">EL RODEADERO </t>
  </si>
  <si>
    <t>8000013466</t>
  </si>
  <si>
    <t>082540</t>
  </si>
  <si>
    <t>EL TREBOL 1</t>
  </si>
  <si>
    <t>8000000738</t>
  </si>
  <si>
    <t>082541</t>
  </si>
  <si>
    <t>ARANJUEZ</t>
  </si>
  <si>
    <t>8000000683</t>
  </si>
  <si>
    <t>082542</t>
  </si>
  <si>
    <t>SAN MIGUEL CARVAJAL</t>
  </si>
  <si>
    <t>8000013559</t>
  </si>
  <si>
    <t>082543</t>
  </si>
  <si>
    <t>LA TERTULIA</t>
  </si>
  <si>
    <t>082544</t>
  </si>
  <si>
    <t>CAUCA</t>
  </si>
  <si>
    <t>8000013605</t>
  </si>
  <si>
    <t>082547</t>
  </si>
  <si>
    <t>KANDA ICHIBAN</t>
  </si>
  <si>
    <t>8000013632</t>
  </si>
  <si>
    <t>082548</t>
  </si>
  <si>
    <t>LA MARIA LINCE</t>
  </si>
  <si>
    <t>082549</t>
  </si>
  <si>
    <t>LA GUAJIRA</t>
  </si>
  <si>
    <t>8000000744</t>
  </si>
  <si>
    <t>082550</t>
  </si>
  <si>
    <t>MILAN ORLANDO</t>
  </si>
  <si>
    <t>8000013981</t>
  </si>
  <si>
    <t>082551</t>
  </si>
  <si>
    <t>BERLIN VELTEN</t>
  </si>
  <si>
    <t>8000013959</t>
  </si>
  <si>
    <t>082555</t>
  </si>
  <si>
    <t>KANHELO</t>
  </si>
  <si>
    <t>8000011120</t>
  </si>
  <si>
    <t>082557</t>
  </si>
  <si>
    <t>LA MARIA GIRALDO</t>
  </si>
  <si>
    <t>8000003023</t>
  </si>
  <si>
    <t>082558</t>
  </si>
  <si>
    <t>PAMPAMA LOTE 1A</t>
  </si>
  <si>
    <t>8000014132</t>
  </si>
  <si>
    <t>082559</t>
  </si>
  <si>
    <t>SAN JOSE LA REYNA</t>
  </si>
  <si>
    <t>8000014055</t>
  </si>
  <si>
    <t>082560</t>
  </si>
  <si>
    <t>PLATANARES</t>
  </si>
  <si>
    <t>8000013871</t>
  </si>
  <si>
    <t>082561</t>
  </si>
  <si>
    <t>SANTA LUISA</t>
  </si>
  <si>
    <t>8000014036</t>
  </si>
  <si>
    <t>082563</t>
  </si>
  <si>
    <t>LA ABISINIA</t>
  </si>
  <si>
    <t>082565</t>
  </si>
  <si>
    <t>MILAGROS</t>
  </si>
  <si>
    <t>8000014336</t>
  </si>
  <si>
    <t>082566</t>
  </si>
  <si>
    <t>QUITASUEÑOS</t>
  </si>
  <si>
    <t>8000002310</t>
  </si>
  <si>
    <t>082567</t>
  </si>
  <si>
    <t>PAMPAMA 2</t>
  </si>
  <si>
    <t>082568</t>
  </si>
  <si>
    <t>VILLA CLARA 2</t>
  </si>
  <si>
    <t>082570</t>
  </si>
  <si>
    <t>VILLA LIA PARTICIPACION</t>
  </si>
  <si>
    <t>8000000828</t>
  </si>
  <si>
    <t>080168</t>
  </si>
  <si>
    <t>LA PALOMERA JAIME</t>
  </si>
  <si>
    <t>8000012413</t>
  </si>
  <si>
    <t>080300</t>
  </si>
  <si>
    <t>SAN ANTONIO CABAL</t>
  </si>
  <si>
    <t>8000000930</t>
  </si>
  <si>
    <t>080304</t>
  </si>
  <si>
    <t>8000010785</t>
  </si>
  <si>
    <t>080307</t>
  </si>
  <si>
    <t>CHAMBERY 2</t>
  </si>
  <si>
    <t>8000000810</t>
  </si>
  <si>
    <t>080309</t>
  </si>
  <si>
    <t>ZABALETAS 2 ARANGO</t>
  </si>
  <si>
    <t>8000014245</t>
  </si>
  <si>
    <t>080310</t>
  </si>
  <si>
    <t>EL EDEN</t>
  </si>
  <si>
    <t>8000012256</t>
  </si>
  <si>
    <t>080311</t>
  </si>
  <si>
    <t>LA MARQUEZA  RESTREPO</t>
  </si>
  <si>
    <t>8000001370</t>
  </si>
  <si>
    <t>080313</t>
  </si>
  <si>
    <t>EL BRASIL AZCARATE</t>
  </si>
  <si>
    <t>8000000879</t>
  </si>
  <si>
    <t>080314</t>
  </si>
  <si>
    <t>LA ISLA MOLINARES</t>
  </si>
  <si>
    <t>8000001285</t>
  </si>
  <si>
    <t>080316</t>
  </si>
  <si>
    <t>SOLEDAD SALAZAR</t>
  </si>
  <si>
    <t>8000013879</t>
  </si>
  <si>
    <t>080317</t>
  </si>
  <si>
    <t>EL ONCE</t>
  </si>
  <si>
    <t>8000002490</t>
  </si>
  <si>
    <t>080318</t>
  </si>
  <si>
    <t>LAS MERCEDES ORTEGA</t>
  </si>
  <si>
    <t>8000001295</t>
  </si>
  <si>
    <t>080321</t>
  </si>
  <si>
    <t>LILIKAY</t>
  </si>
  <si>
    <t>8000000733</t>
  </si>
  <si>
    <t>080327</t>
  </si>
  <si>
    <t>MOLOKAI</t>
  </si>
  <si>
    <t>080329</t>
  </si>
  <si>
    <t>EL RANCHO 3</t>
  </si>
  <si>
    <t>8000011493</t>
  </si>
  <si>
    <t>080340</t>
  </si>
  <si>
    <t>LA INSULA</t>
  </si>
  <si>
    <t>8000000892</t>
  </si>
  <si>
    <t>080342</t>
  </si>
  <si>
    <t>LA CABAÑITA #1</t>
  </si>
  <si>
    <t>080343</t>
  </si>
  <si>
    <t>MONSERRATE</t>
  </si>
  <si>
    <t>8000007457</t>
  </si>
  <si>
    <t>080344</t>
  </si>
  <si>
    <t>LA JULIA SAAVEDRA</t>
  </si>
  <si>
    <t>8000011012</t>
  </si>
  <si>
    <t>080346</t>
  </si>
  <si>
    <t>BALSORA</t>
  </si>
  <si>
    <t>8000000735</t>
  </si>
  <si>
    <t>080348</t>
  </si>
  <si>
    <t>LA BASTILLA ARANGO</t>
  </si>
  <si>
    <t>8000000637</t>
  </si>
  <si>
    <t>080349</t>
  </si>
  <si>
    <t>EL CARMEN</t>
  </si>
  <si>
    <t>8000007455</t>
  </si>
  <si>
    <t>080350</t>
  </si>
  <si>
    <t>BIZERTA</t>
  </si>
  <si>
    <t>8000000748</t>
  </si>
  <si>
    <t>080352</t>
  </si>
  <si>
    <t>LA UNION 1</t>
  </si>
  <si>
    <t>8000000835</t>
  </si>
  <si>
    <t>080354</t>
  </si>
  <si>
    <t>EL JAGUAL</t>
  </si>
  <si>
    <t>080355</t>
  </si>
  <si>
    <t>LA HOLANDA</t>
  </si>
  <si>
    <t>8000002492</t>
  </si>
  <si>
    <t>080360</t>
  </si>
  <si>
    <t>EL ROSARIO SANTIPOLLO</t>
  </si>
  <si>
    <t>8000013176</t>
  </si>
  <si>
    <t>080361</t>
  </si>
  <si>
    <t>LA CARMELA AGROPECUARIA</t>
  </si>
  <si>
    <t>080364</t>
  </si>
  <si>
    <t>EL GUACHAL</t>
  </si>
  <si>
    <t>080365</t>
  </si>
  <si>
    <t>LA JULIA 2</t>
  </si>
  <si>
    <t>8000000964</t>
  </si>
  <si>
    <t>080369</t>
  </si>
  <si>
    <t>SAN RAFAEL ARANGO.</t>
  </si>
  <si>
    <t>8000013874</t>
  </si>
  <si>
    <t>080370</t>
  </si>
  <si>
    <t>SAN GERARDO ARANGO</t>
  </si>
  <si>
    <t>8000008026</t>
  </si>
  <si>
    <t>080373</t>
  </si>
  <si>
    <t>LA ALPINA STORINO</t>
  </si>
  <si>
    <t>8000001362</t>
  </si>
  <si>
    <t>080374</t>
  </si>
  <si>
    <t>PALOBLANCO ARANGO</t>
  </si>
  <si>
    <t>080376</t>
  </si>
  <si>
    <t>LA VEGA RESTREPO</t>
  </si>
  <si>
    <t>080384</t>
  </si>
  <si>
    <t>MANGON PALOBLANCO.</t>
  </si>
  <si>
    <t>8000000729</t>
  </si>
  <si>
    <t>080385</t>
  </si>
  <si>
    <t>MIRRI6AQUE AGROPECUARIA</t>
  </si>
  <si>
    <t>8000002430</t>
  </si>
  <si>
    <t>080390</t>
  </si>
  <si>
    <t>VILLA LIA</t>
  </si>
  <si>
    <t>080392</t>
  </si>
  <si>
    <t>LA CABA6A AGROP.</t>
  </si>
  <si>
    <t>8000000834</t>
  </si>
  <si>
    <t>080394</t>
  </si>
  <si>
    <t>SAN GERARDO DE LOS RIOS</t>
  </si>
  <si>
    <t>8000013502</t>
  </si>
  <si>
    <t>080395</t>
  </si>
  <si>
    <t>VILLA MARTHA-LA CECILIA</t>
  </si>
  <si>
    <t>8000001361</t>
  </si>
  <si>
    <t>080396</t>
  </si>
  <si>
    <t>SANTA ANA</t>
  </si>
  <si>
    <t>8000000702</t>
  </si>
  <si>
    <t>080398</t>
  </si>
  <si>
    <t>PATEMONO</t>
  </si>
  <si>
    <t>8000014280</t>
  </si>
  <si>
    <t>080402</t>
  </si>
  <si>
    <t>EL ALBION</t>
  </si>
  <si>
    <t>8000002880</t>
  </si>
  <si>
    <t>080403</t>
  </si>
  <si>
    <t>CARACOLI</t>
  </si>
  <si>
    <t>080405</t>
  </si>
  <si>
    <t>SAN JUANITO MU6OZ</t>
  </si>
  <si>
    <t>8000001700</t>
  </si>
  <si>
    <t>080418</t>
  </si>
  <si>
    <t>SANTA ROSA BARONA</t>
  </si>
  <si>
    <t>8000000655</t>
  </si>
  <si>
    <t>080420</t>
  </si>
  <si>
    <t>EL RANCHO RESTREPO</t>
  </si>
  <si>
    <t>080429</t>
  </si>
  <si>
    <t>EL SAMANCITO</t>
  </si>
  <si>
    <t>8000011520</t>
  </si>
  <si>
    <t>080430</t>
  </si>
  <si>
    <t>EL TREJO</t>
  </si>
  <si>
    <t>080431</t>
  </si>
  <si>
    <t>EL TREJO 2</t>
  </si>
  <si>
    <t>080437</t>
  </si>
  <si>
    <t>LA ESPERANZA SHIMA</t>
  </si>
  <si>
    <t>8000002961</t>
  </si>
  <si>
    <t>080438</t>
  </si>
  <si>
    <t>ESCOCIA.</t>
  </si>
  <si>
    <t>080448</t>
  </si>
  <si>
    <t>LA MARIA EL ROBLE</t>
  </si>
  <si>
    <t>8000002846</t>
  </si>
  <si>
    <t>080452</t>
  </si>
  <si>
    <t>RABO DE MICO</t>
  </si>
  <si>
    <t>080453</t>
  </si>
  <si>
    <t>EL CONCHAL 1</t>
  </si>
  <si>
    <t>8000002185</t>
  </si>
  <si>
    <t>080454</t>
  </si>
  <si>
    <t>EL CONCHAL 2</t>
  </si>
  <si>
    <t>080458</t>
  </si>
  <si>
    <t>LUISIANA</t>
  </si>
  <si>
    <t>8000003446</t>
  </si>
  <si>
    <t>080465</t>
  </si>
  <si>
    <t>SAN CAMILO</t>
  </si>
  <si>
    <t>8000000732</t>
  </si>
  <si>
    <t>080468</t>
  </si>
  <si>
    <t>MALAGANA 2</t>
  </si>
  <si>
    <t>8000000772</t>
  </si>
  <si>
    <t>080473</t>
  </si>
  <si>
    <t>LA ALPINA LLANO</t>
  </si>
  <si>
    <t>8000013549</t>
  </si>
  <si>
    <t>080474</t>
  </si>
  <si>
    <t>BRITANIA</t>
  </si>
  <si>
    <t>8000009187</t>
  </si>
  <si>
    <t>080477</t>
  </si>
  <si>
    <t xml:space="preserve">EL PORVENIR </t>
  </si>
  <si>
    <t>8000000845</t>
  </si>
  <si>
    <t>080480</t>
  </si>
  <si>
    <t>BELLA FLOR SANCHEZ</t>
  </si>
  <si>
    <t>8000013508</t>
  </si>
  <si>
    <t>080481</t>
  </si>
  <si>
    <t>CORINTO</t>
  </si>
  <si>
    <t>8000012255</t>
  </si>
  <si>
    <t>080484</t>
  </si>
  <si>
    <t>LINARES</t>
  </si>
  <si>
    <t>8000011121</t>
  </si>
  <si>
    <t>080485</t>
  </si>
  <si>
    <t>LA QUIJADA</t>
  </si>
  <si>
    <t>8000003262</t>
  </si>
  <si>
    <t>080487</t>
  </si>
  <si>
    <t>LA QUIJADA 5</t>
  </si>
  <si>
    <t>8000009270</t>
  </si>
  <si>
    <t>080488</t>
  </si>
  <si>
    <t>LAS MORAS FERRO</t>
  </si>
  <si>
    <t>080489</t>
  </si>
  <si>
    <t>EL PLACER CASTRO</t>
  </si>
  <si>
    <t>8000001817</t>
  </si>
  <si>
    <t>080493</t>
  </si>
  <si>
    <t>LA CONCHA</t>
  </si>
  <si>
    <t>8000000747</t>
  </si>
  <si>
    <t>080502</t>
  </si>
  <si>
    <t>EL BAMBU</t>
  </si>
  <si>
    <t>8000000873</t>
  </si>
  <si>
    <t>080505</t>
  </si>
  <si>
    <t>BELLAVISTA  CAMPO</t>
  </si>
  <si>
    <t>8000002442</t>
  </si>
  <si>
    <t>080507</t>
  </si>
  <si>
    <t>BELEN 4</t>
  </si>
  <si>
    <t>8000001041</t>
  </si>
  <si>
    <t>080508</t>
  </si>
  <si>
    <t>LOTE BRYON</t>
  </si>
  <si>
    <t>8000000763</t>
  </si>
  <si>
    <t>080511</t>
  </si>
  <si>
    <t>LA ALSACIA SAAVEDRA</t>
  </si>
  <si>
    <t>8000000837</t>
  </si>
  <si>
    <t>080513</t>
  </si>
  <si>
    <t>EL TESORO SERNA</t>
  </si>
  <si>
    <t>080516</t>
  </si>
  <si>
    <t>EL DIEZ</t>
  </si>
  <si>
    <t>080517</t>
  </si>
  <si>
    <t>LA ESPERANZA NAVIA</t>
  </si>
  <si>
    <t>8000002526</t>
  </si>
  <si>
    <t>080518</t>
  </si>
  <si>
    <t>SANTOMAS</t>
  </si>
  <si>
    <t>080519</t>
  </si>
  <si>
    <t>LA MARGARITA CRUZ</t>
  </si>
  <si>
    <t>8000000817</t>
  </si>
  <si>
    <t>080525</t>
  </si>
  <si>
    <t>SAN ANTONIO RESTREPO</t>
  </si>
  <si>
    <t>8000000610</t>
  </si>
  <si>
    <t>080526</t>
  </si>
  <si>
    <t>LA JOSEFINA</t>
  </si>
  <si>
    <t>8000011400</t>
  </si>
  <si>
    <t>080527</t>
  </si>
  <si>
    <t>LA LORENA</t>
  </si>
  <si>
    <t>080528</t>
  </si>
  <si>
    <t>SAN FELIPE RESTREPO</t>
  </si>
  <si>
    <t>8000000633</t>
  </si>
  <si>
    <t>080535</t>
  </si>
  <si>
    <t>SAN JOSE LLANO</t>
  </si>
  <si>
    <t>080538</t>
  </si>
  <si>
    <t>SAN CARLOS 2</t>
  </si>
  <si>
    <t>080539</t>
  </si>
  <si>
    <t>LA EMILIA LLANO</t>
  </si>
  <si>
    <t>080543</t>
  </si>
  <si>
    <t>EL SILENCIO CRUZ</t>
  </si>
  <si>
    <t>080545</t>
  </si>
  <si>
    <t>YUNDE</t>
  </si>
  <si>
    <t>080546</t>
  </si>
  <si>
    <t>YUNDECITO</t>
  </si>
  <si>
    <t>080547</t>
  </si>
  <si>
    <t>LA OLGA TASCON</t>
  </si>
  <si>
    <t>8000010584</t>
  </si>
  <si>
    <t>080548</t>
  </si>
  <si>
    <t>LOS CAFETOS</t>
  </si>
  <si>
    <t>8000000628</t>
  </si>
  <si>
    <t>080550</t>
  </si>
  <si>
    <t>SAN LUCAS BARONA</t>
  </si>
  <si>
    <t>080551</t>
  </si>
  <si>
    <t>LA TRINIDAD</t>
  </si>
  <si>
    <t>080555</t>
  </si>
  <si>
    <t>LA ESTANCIA</t>
  </si>
  <si>
    <t>8000000859</t>
  </si>
  <si>
    <t>080559</t>
  </si>
  <si>
    <t>LA EMILIA TENORIO</t>
  </si>
  <si>
    <t>080564</t>
  </si>
  <si>
    <t>EL PORVENIR BARONA</t>
  </si>
  <si>
    <t>080565</t>
  </si>
  <si>
    <t>EL TRIUNFO POSADA</t>
  </si>
  <si>
    <t>080566</t>
  </si>
  <si>
    <t>LA VEGA TANAKA</t>
  </si>
  <si>
    <t>8000008660</t>
  </si>
  <si>
    <t>080572</t>
  </si>
  <si>
    <t>LA HOLANDA   ABADIA</t>
  </si>
  <si>
    <t>8000003720</t>
  </si>
  <si>
    <t>080573</t>
  </si>
  <si>
    <t>KATANOBU</t>
  </si>
  <si>
    <t>8000000792</t>
  </si>
  <si>
    <t>080579</t>
  </si>
  <si>
    <t xml:space="preserve">LA SELVA-SAN JOSE </t>
  </si>
  <si>
    <t>8000000614</t>
  </si>
  <si>
    <t>080580</t>
  </si>
  <si>
    <t>EL PALMAR REYES</t>
  </si>
  <si>
    <t>8000001270</t>
  </si>
  <si>
    <t>080582</t>
  </si>
  <si>
    <t>MONTEOSCURO GUZMAN</t>
  </si>
  <si>
    <t>080584</t>
  </si>
  <si>
    <t>AGRICOLA DON MIGUEL</t>
  </si>
  <si>
    <t>080586</t>
  </si>
  <si>
    <t>LA INDEPENDENCIA</t>
  </si>
  <si>
    <t>8000014319</t>
  </si>
  <si>
    <t>080590</t>
  </si>
  <si>
    <t>EL DANUBIO C</t>
  </si>
  <si>
    <t>8000000812</t>
  </si>
  <si>
    <t>080592</t>
  </si>
  <si>
    <t>LA VENTURA AGROPECUARIA</t>
  </si>
  <si>
    <t>8000000877</t>
  </si>
  <si>
    <t>080593</t>
  </si>
  <si>
    <t>LA VENTURA 2 REYES</t>
  </si>
  <si>
    <t>8000013651</t>
  </si>
  <si>
    <t>080596</t>
  </si>
  <si>
    <t>EL ENCANTO SATIZABAL</t>
  </si>
  <si>
    <t>8000008432</t>
  </si>
  <si>
    <t>080598</t>
  </si>
  <si>
    <t>LAS CEIBAS ROMA</t>
  </si>
  <si>
    <t>8000000922</t>
  </si>
  <si>
    <t>080599</t>
  </si>
  <si>
    <t>LA CARMELA ROMA</t>
  </si>
  <si>
    <t>080641</t>
  </si>
  <si>
    <t>LA ESPERANZA PINEDA</t>
  </si>
  <si>
    <t>8000007880</t>
  </si>
  <si>
    <t>080645</t>
  </si>
  <si>
    <t>PAMPAMA TENORIO</t>
  </si>
  <si>
    <t>8000007910</t>
  </si>
  <si>
    <t>080649</t>
  </si>
  <si>
    <t>LA JULITA</t>
  </si>
  <si>
    <t>8000002608</t>
  </si>
  <si>
    <t>080654</t>
  </si>
  <si>
    <t>EL ARRANQUE</t>
  </si>
  <si>
    <t>080658</t>
  </si>
  <si>
    <t>LA MARQUEZA SERNA</t>
  </si>
  <si>
    <t>080659</t>
  </si>
  <si>
    <t>PALOBLANCO ABADIA</t>
  </si>
  <si>
    <t>080661</t>
  </si>
  <si>
    <t>LA BASTILLA NISHI</t>
  </si>
  <si>
    <t>8000012472</t>
  </si>
  <si>
    <t>080663</t>
  </si>
  <si>
    <t>LA GLORIA AZCARATE</t>
  </si>
  <si>
    <t>8000001287</t>
  </si>
  <si>
    <t>080665</t>
  </si>
  <si>
    <t>POMA</t>
  </si>
  <si>
    <t>8000000996</t>
  </si>
  <si>
    <t>080666</t>
  </si>
  <si>
    <t>REN REN</t>
  </si>
  <si>
    <t>8000012476</t>
  </si>
  <si>
    <t>080668</t>
  </si>
  <si>
    <t>LA MARIA GUZMAN</t>
  </si>
  <si>
    <t>080669</t>
  </si>
  <si>
    <t>LAS CEIBAS AGROPE. CALLEJON</t>
  </si>
  <si>
    <t>8000007960</t>
  </si>
  <si>
    <t>080672</t>
  </si>
  <si>
    <t>LA SELVA SERNA</t>
  </si>
  <si>
    <t>080675</t>
  </si>
  <si>
    <t>SAN MIGUEL UNO</t>
  </si>
  <si>
    <t>080676</t>
  </si>
  <si>
    <t>SINCERIN #3 ROSA MARIA</t>
  </si>
  <si>
    <t>8000002095</t>
  </si>
  <si>
    <t>080677</t>
  </si>
  <si>
    <t>SINCERIN #4A1</t>
  </si>
  <si>
    <t>8000014012</t>
  </si>
  <si>
    <t>080679</t>
  </si>
  <si>
    <t>SINCERIN #7  MELO</t>
  </si>
  <si>
    <t>8000011543</t>
  </si>
  <si>
    <t>080680</t>
  </si>
  <si>
    <t>SINCERIN #6 ELBA</t>
  </si>
  <si>
    <t>8000001595</t>
  </si>
  <si>
    <t>080683</t>
  </si>
  <si>
    <t>EL PILAR</t>
  </si>
  <si>
    <t>8000014315</t>
  </si>
  <si>
    <t>080684</t>
  </si>
  <si>
    <t>SAN JUANITO MARTHA</t>
  </si>
  <si>
    <t>080685</t>
  </si>
  <si>
    <t>LA MARIANA</t>
  </si>
  <si>
    <t>8000001705</t>
  </si>
  <si>
    <t>080688</t>
  </si>
  <si>
    <t>EL GUAYABITO</t>
  </si>
  <si>
    <t>080689</t>
  </si>
  <si>
    <t>RECANI</t>
  </si>
  <si>
    <t>8000000966</t>
  </si>
  <si>
    <t>080692</t>
  </si>
  <si>
    <t>MARACAIBO</t>
  </si>
  <si>
    <t>080696</t>
  </si>
  <si>
    <t>EL TREJITO MOL-CABAL</t>
  </si>
  <si>
    <t>8000002583</t>
  </si>
  <si>
    <t>080699</t>
  </si>
  <si>
    <t>LA RUISA</t>
  </si>
  <si>
    <t>8000010370</t>
  </si>
  <si>
    <t>080761</t>
  </si>
  <si>
    <t>MIRAFLORES</t>
  </si>
  <si>
    <t>8000008025</t>
  </si>
  <si>
    <t>080862</t>
  </si>
  <si>
    <t>EL TREJITO  MOL- MEJIA</t>
  </si>
  <si>
    <t>080884</t>
  </si>
  <si>
    <t>LA CARMELA MOLINA</t>
  </si>
  <si>
    <t>080943</t>
  </si>
  <si>
    <t xml:space="preserve">GUACHICONA </t>
  </si>
  <si>
    <t>8000000616</t>
  </si>
  <si>
    <t>080944</t>
  </si>
  <si>
    <t>SANTA CRUZ 2</t>
  </si>
  <si>
    <t>080978</t>
  </si>
  <si>
    <t>SAN PABLO SILCA</t>
  </si>
  <si>
    <t>081002</t>
  </si>
  <si>
    <t>EL TRIUNFO  MOLINA</t>
  </si>
  <si>
    <t>8000010793</t>
  </si>
  <si>
    <t>081028</t>
  </si>
  <si>
    <t>SAN MIGUEL II</t>
  </si>
  <si>
    <t>081033</t>
  </si>
  <si>
    <t>EL MOLINO</t>
  </si>
  <si>
    <t>8000002340</t>
  </si>
  <si>
    <t>081034</t>
  </si>
  <si>
    <t>CHIRIBITIL</t>
  </si>
  <si>
    <t>081035</t>
  </si>
  <si>
    <t>LA ARBOLEDA</t>
  </si>
  <si>
    <t>8000013973</t>
  </si>
  <si>
    <t>081048</t>
  </si>
  <si>
    <t>PALESTINA TORRES</t>
  </si>
  <si>
    <t>8000007954</t>
  </si>
  <si>
    <t>081049</t>
  </si>
  <si>
    <t>LAS BRISAS TORRES</t>
  </si>
  <si>
    <t>8000013990</t>
  </si>
  <si>
    <t>081052</t>
  </si>
  <si>
    <t>EL CANELO M</t>
  </si>
  <si>
    <t>8000007991</t>
  </si>
  <si>
    <t>081053</t>
  </si>
  <si>
    <t>VILLA DEL LAGO</t>
  </si>
  <si>
    <t>081056</t>
  </si>
  <si>
    <t>CAUCAYA 1 Y 2</t>
  </si>
  <si>
    <t>081058</t>
  </si>
  <si>
    <t>SAN PABLO GERARDO CAMPO</t>
  </si>
  <si>
    <t>8000013557</t>
  </si>
  <si>
    <t>081059</t>
  </si>
  <si>
    <t>LOS ARUPOS</t>
  </si>
  <si>
    <t>8000001286</t>
  </si>
  <si>
    <t>081063</t>
  </si>
  <si>
    <t>JOSEPILLA PALMA</t>
  </si>
  <si>
    <t>081064</t>
  </si>
  <si>
    <t>BUENOS AIRES AGRICOLA</t>
  </si>
  <si>
    <t>081066</t>
  </si>
  <si>
    <t>SAN RAFAEL SILCA</t>
  </si>
  <si>
    <t>081076</t>
  </si>
  <si>
    <t>EL TRAPICHE  MANZANO</t>
  </si>
  <si>
    <t>8000013186</t>
  </si>
  <si>
    <t>081089</t>
  </si>
  <si>
    <t>LA INDUSTRIA</t>
  </si>
  <si>
    <t>8000010616</t>
  </si>
  <si>
    <t>081104</t>
  </si>
  <si>
    <t>SOCAL</t>
  </si>
  <si>
    <t>8000008685</t>
  </si>
  <si>
    <t>081110</t>
  </si>
  <si>
    <t>LA ESPERANZA SATIZABAL</t>
  </si>
  <si>
    <t>8000009190</t>
  </si>
  <si>
    <t>081112</t>
  </si>
  <si>
    <t>VILLA YOLANDA</t>
  </si>
  <si>
    <t>8000009765</t>
  </si>
  <si>
    <t>081113</t>
  </si>
  <si>
    <t>SAN RAFAEL 2 ARANGO</t>
  </si>
  <si>
    <t>081114</t>
  </si>
  <si>
    <t>LA CAROLINA</t>
  </si>
  <si>
    <t>8000009206</t>
  </si>
  <si>
    <t>081116</t>
  </si>
  <si>
    <t>PUBENZA 2</t>
  </si>
  <si>
    <t>081117</t>
  </si>
  <si>
    <t>LA PLAYA</t>
  </si>
  <si>
    <t>8000008732</t>
  </si>
  <si>
    <t>081128</t>
  </si>
  <si>
    <t>CIAT</t>
  </si>
  <si>
    <t>8000009907</t>
  </si>
  <si>
    <t>081129</t>
  </si>
  <si>
    <t>LA ISABELA DE LOS RIOS</t>
  </si>
  <si>
    <t>8000000884</t>
  </si>
  <si>
    <t>081143</t>
  </si>
  <si>
    <t>MILAN-TENORIO</t>
  </si>
  <si>
    <t>8000013972</t>
  </si>
  <si>
    <t>081146</t>
  </si>
  <si>
    <t>EL OCASO</t>
  </si>
  <si>
    <t>081147</t>
  </si>
  <si>
    <t>SANTA MARTHA SEIGO</t>
  </si>
  <si>
    <t>8000002962</t>
  </si>
  <si>
    <t>081148</t>
  </si>
  <si>
    <t>MILAN JOSE IGNACIO</t>
  </si>
  <si>
    <t>8000002960</t>
  </si>
  <si>
    <t>081149</t>
  </si>
  <si>
    <t>LA ESTANCIA CABAL</t>
  </si>
  <si>
    <t>081152</t>
  </si>
  <si>
    <t>EL OLIVO</t>
  </si>
  <si>
    <t>8000010287</t>
  </si>
  <si>
    <t>081176</t>
  </si>
  <si>
    <t>LA MARIA1</t>
  </si>
  <si>
    <t>081226</t>
  </si>
  <si>
    <t>EL NILO</t>
  </si>
  <si>
    <t>8000012397</t>
  </si>
  <si>
    <t>081291</t>
  </si>
  <si>
    <t>AMAIME SILCA</t>
  </si>
  <si>
    <t>081292</t>
  </si>
  <si>
    <t>CANANGUA SILCA</t>
  </si>
  <si>
    <t>081298</t>
  </si>
  <si>
    <t>EL DELIRIO PARRA</t>
  </si>
  <si>
    <t>8000009699</t>
  </si>
  <si>
    <t>081302</t>
  </si>
  <si>
    <t>SUEÑOS</t>
  </si>
  <si>
    <t>8000011111</t>
  </si>
  <si>
    <t>081304</t>
  </si>
  <si>
    <t>LA LANCHERA EPOCA</t>
  </si>
  <si>
    <t>081313</t>
  </si>
  <si>
    <t>EL BRASIL AGROPECTUS</t>
  </si>
  <si>
    <t>8000013958</t>
  </si>
  <si>
    <t>081357</t>
  </si>
  <si>
    <t>BELLA FLOR MARIA ELENA</t>
  </si>
  <si>
    <t>8000008627</t>
  </si>
  <si>
    <t>081358</t>
  </si>
  <si>
    <t>BELLA FLOR SOIDIEGO</t>
  </si>
  <si>
    <t>8000008626</t>
  </si>
  <si>
    <t>081359</t>
  </si>
  <si>
    <t>BELLA FLOR ASCENSION</t>
  </si>
  <si>
    <t>8000008625</t>
  </si>
  <si>
    <t>081361</t>
  </si>
  <si>
    <t>FUNDUNGO  INVENSA</t>
  </si>
  <si>
    <t>8000001530</t>
  </si>
  <si>
    <t>081362</t>
  </si>
  <si>
    <t>VENECIA  INESA</t>
  </si>
  <si>
    <t>8000001371</t>
  </si>
  <si>
    <t>081363</t>
  </si>
  <si>
    <t>ESPERANZA  INESA</t>
  </si>
  <si>
    <t>081364</t>
  </si>
  <si>
    <t>LA ESTANCIA INVENSA</t>
  </si>
  <si>
    <t>081374</t>
  </si>
  <si>
    <t>CASABLANCA HURTADO</t>
  </si>
  <si>
    <t>8000011235</t>
  </si>
  <si>
    <t>081376</t>
  </si>
  <si>
    <t>EL ROSARIO 1</t>
  </si>
  <si>
    <t>8000011377</t>
  </si>
  <si>
    <t>081377</t>
  </si>
  <si>
    <t>LAS CEIBAS AZCARATE</t>
  </si>
  <si>
    <t>081384</t>
  </si>
  <si>
    <t xml:space="preserve">SAN JUANITO DUALCA </t>
  </si>
  <si>
    <t>8000011453</t>
  </si>
  <si>
    <t>081385</t>
  </si>
  <si>
    <t>LITUANIA</t>
  </si>
  <si>
    <t>8000012796</t>
  </si>
  <si>
    <t>081386</t>
  </si>
  <si>
    <t>FATIMA</t>
  </si>
  <si>
    <t>8000011481</t>
  </si>
  <si>
    <t>081390</t>
  </si>
  <si>
    <t>EL REFUGIO CABAL</t>
  </si>
  <si>
    <t>081391</t>
  </si>
  <si>
    <t xml:space="preserve">HACIENDA PAMPAMA </t>
  </si>
  <si>
    <t>081395</t>
  </si>
  <si>
    <t>EL CARAJO</t>
  </si>
  <si>
    <t>8000014133</t>
  </si>
  <si>
    <t>081397</t>
  </si>
  <si>
    <t>LA PIEDAD ESCOBAR</t>
  </si>
  <si>
    <t>081398</t>
  </si>
  <si>
    <t>LA PALMA ESCOBAR</t>
  </si>
  <si>
    <t>081414</t>
  </si>
  <si>
    <t>LA ISLA MORENO</t>
  </si>
  <si>
    <t>8000011815</t>
  </si>
  <si>
    <t>081429</t>
  </si>
  <si>
    <t>SAMANES PARAÍSO</t>
  </si>
  <si>
    <t>8000014580</t>
  </si>
  <si>
    <t>081454</t>
  </si>
  <si>
    <t>GUAYABITO LOTE #3 RACINES</t>
  </si>
  <si>
    <t>8000011932</t>
  </si>
  <si>
    <t>081466</t>
  </si>
  <si>
    <t>GUAYABITO 2 EPOCA</t>
  </si>
  <si>
    <t>081480</t>
  </si>
  <si>
    <t>EL RHIN</t>
  </si>
  <si>
    <t>081482</t>
  </si>
  <si>
    <t>SINCERIN 4 SANCHEZ</t>
  </si>
  <si>
    <t>081484</t>
  </si>
  <si>
    <t>LA REFORMA AGRICOLA</t>
  </si>
  <si>
    <t>081485</t>
  </si>
  <si>
    <t>MOCOA</t>
  </si>
  <si>
    <t>081486</t>
  </si>
  <si>
    <t>LA GUAIRA</t>
  </si>
  <si>
    <t>081489</t>
  </si>
  <si>
    <t>SANTA LIBRADA ARAGON</t>
  </si>
  <si>
    <t>8000008733</t>
  </si>
  <si>
    <t>081543</t>
  </si>
  <si>
    <t>PICHINDE SAN FELIPE</t>
  </si>
  <si>
    <t>8000012371</t>
  </si>
  <si>
    <t>081544</t>
  </si>
  <si>
    <t>PETITE SAN FELIPE</t>
  </si>
  <si>
    <t>081545</t>
  </si>
  <si>
    <t>PARANÁ  SERVIAGRO</t>
  </si>
  <si>
    <t>8000012455</t>
  </si>
  <si>
    <t>081556</t>
  </si>
  <si>
    <t>GUAYABITO 3 EPOCA</t>
  </si>
  <si>
    <t>081574</t>
  </si>
  <si>
    <t>LA PALOMERA JAIME PROVEEDURIA</t>
  </si>
  <si>
    <t>081666</t>
  </si>
  <si>
    <t>CAIMOS</t>
  </si>
  <si>
    <t>8000011410</t>
  </si>
  <si>
    <t>081667</t>
  </si>
  <si>
    <t>BETANIA ALADAS</t>
  </si>
  <si>
    <t>081668</t>
  </si>
  <si>
    <t>VERACRUZ</t>
  </si>
  <si>
    <t>081749</t>
  </si>
  <si>
    <t>MILAN VELTEN</t>
  </si>
  <si>
    <t>081754</t>
  </si>
  <si>
    <t>BRASIL LICUSATI</t>
  </si>
  <si>
    <t>8000013957</t>
  </si>
  <si>
    <t>081765</t>
  </si>
  <si>
    <t>EL PLACER VASQUEZ</t>
  </si>
  <si>
    <t>8000014260</t>
  </si>
  <si>
    <t>081773</t>
  </si>
  <si>
    <t>CASABLANCA PRADA</t>
  </si>
  <si>
    <t>8000014290</t>
  </si>
  <si>
    <t>081790</t>
  </si>
  <si>
    <t>SAN FELIPE MEGAHATO PROVEEDOR</t>
  </si>
  <si>
    <t>8000014387</t>
  </si>
  <si>
    <t>081791</t>
  </si>
  <si>
    <t>PALO ALTO DIAZ</t>
  </si>
  <si>
    <t>8000011080</t>
  </si>
  <si>
    <t>081792</t>
  </si>
  <si>
    <t>LA MARIA VIVIAN</t>
  </si>
  <si>
    <t>081805</t>
  </si>
  <si>
    <t>EL ANCIANATO</t>
  </si>
  <si>
    <t>081806</t>
  </si>
  <si>
    <t>SANTA CRUZ 1</t>
  </si>
  <si>
    <t>800013533</t>
  </si>
  <si>
    <t>081815</t>
  </si>
  <si>
    <t>CEIBA 3MAR</t>
  </si>
  <si>
    <t>8000008604</t>
  </si>
  <si>
    <t>081816</t>
  </si>
  <si>
    <t>CORRIENTES</t>
  </si>
  <si>
    <t>8000014505</t>
  </si>
  <si>
    <t>081817</t>
  </si>
  <si>
    <t>EL TESORITO ACOLITO PROVEEDOR</t>
  </si>
  <si>
    <t>089999</t>
  </si>
  <si>
    <t>GENERICA - CAMPO (NO INACTIVAR)</t>
  </si>
  <si>
    <t>080312</t>
  </si>
  <si>
    <t>LA FLORESTA CABAL</t>
  </si>
  <si>
    <t>8000000753</t>
  </si>
  <si>
    <t>080328</t>
  </si>
  <si>
    <t>LA ROCHELA</t>
  </si>
  <si>
    <t>8000009885</t>
  </si>
  <si>
    <t>080331</t>
  </si>
  <si>
    <t>EL PALMAR PAYERAS</t>
  </si>
  <si>
    <t>8000003120</t>
  </si>
  <si>
    <t>080337</t>
  </si>
  <si>
    <t>SAN FERNANDO</t>
  </si>
  <si>
    <t>8000000670</t>
  </si>
  <si>
    <t>080378</t>
  </si>
  <si>
    <t>LA CECILIA ARBOLEDA.</t>
  </si>
  <si>
    <t>080379</t>
  </si>
  <si>
    <t>LAS BRISAS.</t>
  </si>
  <si>
    <t>080382</t>
  </si>
  <si>
    <t>TONCHALA</t>
  </si>
  <si>
    <t>8000000890</t>
  </si>
  <si>
    <t>080413</t>
  </si>
  <si>
    <t>LA LOMITA</t>
  </si>
  <si>
    <t>080423</t>
  </si>
  <si>
    <t>EL ROSARIO ARBOLEDA</t>
  </si>
  <si>
    <t>080425</t>
  </si>
  <si>
    <t>LA UNION CAMPO</t>
  </si>
  <si>
    <t>8000002212</t>
  </si>
  <si>
    <t>080434</t>
  </si>
  <si>
    <t>LA TRIBUNA</t>
  </si>
  <si>
    <t>8000000700</t>
  </si>
  <si>
    <t>080435</t>
  </si>
  <si>
    <t>TURIN</t>
  </si>
  <si>
    <t>080443</t>
  </si>
  <si>
    <t>CHAMBURO</t>
  </si>
  <si>
    <t>8000001526</t>
  </si>
  <si>
    <t>080460</t>
  </si>
  <si>
    <t>LA CHAMBA</t>
  </si>
  <si>
    <t>8000000720</t>
  </si>
  <si>
    <t>080467</t>
  </si>
  <si>
    <t>AGUACLARA</t>
  </si>
  <si>
    <t>8000000785</t>
  </si>
  <si>
    <t>080476</t>
  </si>
  <si>
    <t>EL RETIRO</t>
  </si>
  <si>
    <t>080483</t>
  </si>
  <si>
    <t>LA PAZ RESTREPO</t>
  </si>
  <si>
    <t>8000000719</t>
  </si>
  <si>
    <t>080495</t>
  </si>
  <si>
    <t>EL LIMON</t>
  </si>
  <si>
    <t>080498</t>
  </si>
  <si>
    <t>LA FLORESTA ROJAS</t>
  </si>
  <si>
    <t>8000000357</t>
  </si>
  <si>
    <t>080563</t>
  </si>
  <si>
    <t>LA GLORIA ABADIA</t>
  </si>
  <si>
    <t>8000002210</t>
  </si>
  <si>
    <t>080594</t>
  </si>
  <si>
    <t>LA ESTRELLA RUIZ</t>
  </si>
  <si>
    <t>8000014254</t>
  </si>
  <si>
    <t>080653</t>
  </si>
  <si>
    <t>SANTA ELENA</t>
  </si>
  <si>
    <t>8000011831</t>
  </si>
  <si>
    <t>080655</t>
  </si>
  <si>
    <t>LA CHEPA</t>
  </si>
  <si>
    <t>8000001440</t>
  </si>
  <si>
    <t>080656</t>
  </si>
  <si>
    <t>SAN PABLO MARILU</t>
  </si>
  <si>
    <t>8000001375</t>
  </si>
  <si>
    <t>080657</t>
  </si>
  <si>
    <t>ANDALUCIA II</t>
  </si>
  <si>
    <t>080664</t>
  </si>
  <si>
    <t>EL CASTILLITO</t>
  </si>
  <si>
    <t>8000001665</t>
  </si>
  <si>
    <t>080667</t>
  </si>
  <si>
    <t>PASOANCHO 4</t>
  </si>
  <si>
    <t>8000001990</t>
  </si>
  <si>
    <t>080678</t>
  </si>
  <si>
    <t>MORALBA</t>
  </si>
  <si>
    <t>8000002106</t>
  </si>
  <si>
    <t>080691</t>
  </si>
  <si>
    <t>EL DIAMANTE</t>
  </si>
  <si>
    <t>8000011515</t>
  </si>
  <si>
    <t>080698</t>
  </si>
  <si>
    <t>LAS NUBES</t>
  </si>
  <si>
    <t>080714</t>
  </si>
  <si>
    <t>LA CHEPA #2</t>
  </si>
  <si>
    <t>080731</t>
  </si>
  <si>
    <t>LA ESTRELLA CARDONA</t>
  </si>
  <si>
    <t>080781</t>
  </si>
  <si>
    <t>EL JIGUAL 4</t>
  </si>
  <si>
    <t>8000002151</t>
  </si>
  <si>
    <t>080844</t>
  </si>
  <si>
    <t>LA ELIANA (ABADIA)</t>
  </si>
  <si>
    <t>080930</t>
  </si>
  <si>
    <t>LA ESTRELLA  ABADIA #1</t>
  </si>
  <si>
    <t>8000000909</t>
  </si>
  <si>
    <t>080933</t>
  </si>
  <si>
    <t>LA FLAUTA</t>
  </si>
  <si>
    <t>080999</t>
  </si>
  <si>
    <t xml:space="preserve">TEMPORAL PROVIDENCIA </t>
  </si>
  <si>
    <t>081051</t>
  </si>
  <si>
    <t>TAMARINDO</t>
  </si>
  <si>
    <t>8000007980</t>
  </si>
  <si>
    <t>081062</t>
  </si>
  <si>
    <t>EL TABLAZO HOYOS</t>
  </si>
  <si>
    <t>8000008080</t>
  </si>
  <si>
    <t>081072</t>
  </si>
  <si>
    <t>EL TESORO</t>
  </si>
  <si>
    <t>8000009171</t>
  </si>
  <si>
    <t>081073</t>
  </si>
  <si>
    <t>CASABLANCA</t>
  </si>
  <si>
    <t>081075</t>
  </si>
  <si>
    <t>PASATIEMPOS</t>
  </si>
  <si>
    <t>8000008410</t>
  </si>
  <si>
    <t>081078</t>
  </si>
  <si>
    <t>BELEN STORINO</t>
  </si>
  <si>
    <t>8000008690</t>
  </si>
  <si>
    <t>081106</t>
  </si>
  <si>
    <t>SAN RAFAEL CANANGUA 1</t>
  </si>
  <si>
    <t>8000014231</t>
  </si>
  <si>
    <t>081107</t>
  </si>
  <si>
    <t>SAN RAFAEL CANANGUA 2</t>
  </si>
  <si>
    <t>8000000963</t>
  </si>
  <si>
    <t>081108</t>
  </si>
  <si>
    <t>MORAIMA</t>
  </si>
  <si>
    <t>081111</t>
  </si>
  <si>
    <t>LA ALPINA GIANCARLOS</t>
  </si>
  <si>
    <t>8000001845</t>
  </si>
  <si>
    <t>081150</t>
  </si>
  <si>
    <t>EL WADIL</t>
  </si>
  <si>
    <t>8000010192</t>
  </si>
  <si>
    <t>081179</t>
  </si>
  <si>
    <t>LA MARIA RODRIGUEZ</t>
  </si>
  <si>
    <t>8000010416</t>
  </si>
  <si>
    <t>081180</t>
  </si>
  <si>
    <t>LA LINDA RODRIGUEZ</t>
  </si>
  <si>
    <t>081184</t>
  </si>
  <si>
    <t>EL AMPARO GARCIA</t>
  </si>
  <si>
    <t>081192</t>
  </si>
  <si>
    <t>LA ESTRELLITA ABADIA</t>
  </si>
  <si>
    <t>8000001180</t>
  </si>
  <si>
    <t>081368</t>
  </si>
  <si>
    <t>LA LOMITA # 1</t>
  </si>
  <si>
    <t>081369</t>
  </si>
  <si>
    <t xml:space="preserve">TRANSITO  TUMACO </t>
  </si>
  <si>
    <t>8000002625</t>
  </si>
  <si>
    <t>081373</t>
  </si>
  <si>
    <t>LA FLORINDITA</t>
  </si>
  <si>
    <t>081455</t>
  </si>
  <si>
    <t>EL PALMAR TAFUR</t>
  </si>
  <si>
    <t>8000001675</t>
  </si>
  <si>
    <t>081783</t>
  </si>
  <si>
    <t>LA PRENSA</t>
  </si>
  <si>
    <t>080500</t>
  </si>
  <si>
    <t>LA MERCED CABAL HNAS.</t>
  </si>
  <si>
    <t>8000001790</t>
  </si>
  <si>
    <t>080601</t>
  </si>
  <si>
    <t>AURORA CUCALON</t>
  </si>
  <si>
    <t>8000002516</t>
  </si>
  <si>
    <t>080605</t>
  </si>
  <si>
    <t>LA MERCED CHAYA-CABA</t>
  </si>
  <si>
    <t>8000000686</t>
  </si>
  <si>
    <t>080606</t>
  </si>
  <si>
    <t>LA CEIBA HOLGUIN</t>
  </si>
  <si>
    <t>8000012859</t>
  </si>
  <si>
    <t>080618</t>
  </si>
  <si>
    <t>LA OVEJERA 3</t>
  </si>
  <si>
    <t>082524</t>
  </si>
  <si>
    <t>LA INES CUCALON</t>
  </si>
  <si>
    <t>8000001260</t>
  </si>
  <si>
    <t>082569</t>
  </si>
  <si>
    <t>ID_USUARIO</t>
  </si>
  <si>
    <t>NOMBRE</t>
  </si>
  <si>
    <t>ROL</t>
  </si>
  <si>
    <t>Administrador</t>
  </si>
  <si>
    <t>ADMINISTRADOR</t>
  </si>
  <si>
    <t>ID_ENTRADA</t>
  </si>
  <si>
    <t>FECHA</t>
  </si>
  <si>
    <t>CODIGO_MATERIAL</t>
  </si>
  <si>
    <t>CANTIDAD</t>
  </si>
  <si>
    <t>SOLPED</t>
  </si>
  <si>
    <t>LOTE</t>
  </si>
  <si>
    <t>VENCIMIENTO</t>
  </si>
  <si>
    <t>USUARIO</t>
  </si>
  <si>
    <t>OBSERVACION</t>
  </si>
  <si>
    <t>ID_CONSUMO</t>
  </si>
  <si>
    <t>SUERTE</t>
  </si>
  <si>
    <t>ZONA</t>
  </si>
  <si>
    <t>TIPO_USO</t>
  </si>
  <si>
    <t>RESPONSABLE</t>
  </si>
  <si>
    <t>ID_AJUSTE</t>
  </si>
  <si>
    <t>TIPO</t>
  </si>
  <si>
    <t>MOTIVO</t>
  </si>
  <si>
    <t>DESCRIPCION</t>
  </si>
  <si>
    <t>ENTRADAS</t>
  </si>
  <si>
    <t>CONSUMOS</t>
  </si>
  <si>
    <t>AJUSTES</t>
  </si>
  <si>
    <t>STOCK</t>
  </si>
  <si>
    <t>ESTADO</t>
  </si>
  <si>
    <t>VALOR_STOCK</t>
  </si>
  <si>
    <t>CONTROL DE INVENTARIO - ESTRUCTURA PARA LA APLICACIÓN</t>
  </si>
  <si>
    <t>MATERIALES</t>
  </si>
  <si>
    <t>Catálogo maestro. Se consulta para seleccionar materiales.</t>
  </si>
  <si>
    <t>HACIENDAS</t>
  </si>
  <si>
    <t>Catálogo de haciendas.</t>
  </si>
  <si>
    <t>USUARIOS</t>
  </si>
  <si>
    <t>Personas autorizadas a registrar movimientos.</t>
  </si>
  <si>
    <t>Cada recepción de material genera una nueva fila.</t>
  </si>
  <si>
    <t>Cada salida/consumo genera una nueva fila.</t>
  </si>
  <si>
    <t>Correcciones, pérdidas, deterioro o conteos físicos.</t>
  </si>
  <si>
    <t>INVENTARIO</t>
  </si>
  <si>
    <t>Resumen calculado: Entradas - Consumos + Ajustes.</t>
  </si>
  <si>
    <t>IMPORTANTE</t>
  </si>
  <si>
    <t>No escribir manualmente el stock. La aplicación lo calculará.</t>
  </si>
  <si>
    <t>TUBERIA PEAD 4"</t>
  </si>
  <si>
    <t>TUBERIA PEAD 4" ROLLO 52.12 M</t>
  </si>
  <si>
    <t>TUBERIA PEAD 6"</t>
  </si>
  <si>
    <t>TUBERIA PEAD 6" ROLLO 52.12 M</t>
  </si>
  <si>
    <t>TRAMO TUBERIA PEAD 4"</t>
  </si>
  <si>
    <t>TUBERIA PEAD 4" TRAMO 5.79</t>
  </si>
  <si>
    <t>TRAMO TUBERIA PEAD 6"</t>
  </si>
  <si>
    <t>TUBERIA PEAD 6" TRAMO 5.79</t>
  </si>
  <si>
    <t>TUBERIA PEAD 8"</t>
  </si>
  <si>
    <t>TUBERIA PEAD 8" TRAMO 6M</t>
  </si>
  <si>
    <t>TUBERIAPEAD 12"</t>
  </si>
  <si>
    <t>TUBERIA PEAD 12"</t>
  </si>
  <si>
    <t>UNION SPLIT 4"</t>
  </si>
  <si>
    <t>UNION SPLIT 4" TUBERIA CORRUGADA</t>
  </si>
  <si>
    <t>UNION SPLIT 6"</t>
  </si>
  <si>
    <t>UNION SPLIT 6" TUBERIA CORRUGADA</t>
  </si>
  <si>
    <t>UNION SPLIT 12"</t>
  </si>
  <si>
    <t>UNION SPLIT 12" TUBERIA CORRUGADA</t>
  </si>
  <si>
    <t>TAPON PEAD 4"</t>
  </si>
  <si>
    <t>TAPON PEAD 4" TUBERIA CORRUGADA</t>
  </si>
  <si>
    <t>TAPON PEAD 6"</t>
  </si>
  <si>
    <t>TAPON PEAD 6" TUBERIA CORRUGADA</t>
  </si>
  <si>
    <t>YEE PEAD 4"</t>
  </si>
  <si>
    <t>YEE PEAD 4" TUBERIA CORRUGADA</t>
  </si>
  <si>
    <t>YEE PEAD 6" - 4"</t>
  </si>
  <si>
    <t>YEE PEAD 6" A  4" TUBERIA CORRUGADA</t>
  </si>
  <si>
    <t>YEE PEAD 12"- 6"</t>
  </si>
  <si>
    <t>YEE PEAD 12" A  6" TUBERIA CORRUGADA</t>
  </si>
  <si>
    <t>REDUCCION 6" - 4"</t>
  </si>
  <si>
    <t>REDUCCION RA TUBERIA DRENAJE DE 6" A 4"</t>
  </si>
  <si>
    <t>CABEZAL PARA TUBERIA PEAD</t>
  </si>
  <si>
    <t>CABEZAL 4" 1 M X 0.60 M</t>
  </si>
  <si>
    <t>CAMARA DE INSPECCION 40"</t>
  </si>
  <si>
    <t>CAMARA DE INSPECCION 40" 1.80 M FONDO PLANO</t>
  </si>
  <si>
    <t>CAMARA DE INSPECCION 48"</t>
  </si>
  <si>
    <t>CAMARA DE INSPECCION 48" 1.80 M FONDO PLANO</t>
  </si>
  <si>
    <t>TUBERIA PEAD 8" TRAMO 6M PARED DOBLE</t>
  </si>
  <si>
    <t>TUBERIA PEAD 6" TRAMO 5.79 PARED DOBLE</t>
  </si>
  <si>
    <t>CAMARA DE INSPECCION 31"</t>
  </si>
  <si>
    <t>CAMARA DE INSPECCION 31" 1.80 M FONDO PLANO</t>
  </si>
  <si>
    <t>REDUCCION PARA TUBERIA PEAD 8" - 6"</t>
  </si>
  <si>
    <t>REDUCCION DE 8" - 6" TUBERIA PEAD CORRUGADA</t>
  </si>
  <si>
    <t>REDUCCION PARA TUBERIA PEAD 6" - 4"</t>
  </si>
  <si>
    <t>REDUCCION DE 6" - 4" TUBERIA PEAD CORRUGADA</t>
  </si>
  <si>
    <t xml:space="preserve">SEMICODO 45° 4" TUBERIA PEAD </t>
  </si>
  <si>
    <t>SEMICODO 45° 4" TUBERIA PEAD CORRUGADA</t>
  </si>
  <si>
    <t xml:space="preserve">SEMICODO 45° 6" TUBERIA PEAD </t>
  </si>
  <si>
    <t>SEMICODO 45° 6" TUBERIA PEAD CORRUGADA</t>
  </si>
  <si>
    <t xml:space="preserve">SEMICODO 45° 8" TUBERIA PEAD </t>
  </si>
  <si>
    <t>SEMICODO 45° 8" TUBERIA PEAD CORRUGADA</t>
  </si>
  <si>
    <t>NA</t>
  </si>
  <si>
    <t>JDVG</t>
  </si>
  <si>
    <t>CN</t>
  </si>
  <si>
    <t>DREN 1</t>
  </si>
  <si>
    <t>CAGV</t>
  </si>
  <si>
    <t>FALTO MATERIAL</t>
  </si>
  <si>
    <t>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</si>
</sst>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applyBorder="1"/>
    <xf numFmtId="14" fontId="0" fillId="0" borderId="0" xfId="0" applyNumberFormat="1"/>
    <xf numFmtId="44" fontId="2" fillId="2" borderId="0" xfId="1" applyFont="1" applyFill="1" applyAlignment="1">
      <alignment horizontal="center"/>
    </xf>
    <xf numFmtId="44" fontId="0" fillId="0" borderId="0" xfId="1" applyFont="1"/>
    <xf numFmtId="0" fontId="5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3"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MATERIALES" displayName="tbl_MATERIALES" ref="A1:I27">
  <autoFilter ref="A1:I27" xr:uid="{00000000-0009-0000-0100-000001000000}"/>
  <tableColumns count="9">
    <tableColumn id="1" xr3:uid="{00000000-0010-0000-0000-000001000000}" name="ID_MATERIAL"/>
    <tableColumn id="2" xr3:uid="{00000000-0010-0000-0000-000002000000}" name="CODIGO"/>
    <tableColumn id="3" xr3:uid="{00000000-0010-0000-0000-000003000000}" name="DESCRIPCION_CORTA" dataDxfId="2"/>
    <tableColumn id="4" xr3:uid="{00000000-0010-0000-0000-000004000000}" name="DESCRIPCION_LARGA" dataDxfId="1"/>
    <tableColumn id="5" xr3:uid="{00000000-0010-0000-0000-000005000000}" name="UNIDAD"/>
    <tableColumn id="6" xr3:uid="{00000000-0010-0000-0000-000006000000}" name="LONGITUD"/>
    <tableColumn id="7" xr3:uid="{00000000-0010-0000-0000-000007000000}" name="PRECIO_UNITARIO"/>
    <tableColumn id="8" xr3:uid="{00000000-0010-0000-0000-000008000000}" name="STOCK_MINIMO"/>
    <tableColumn id="9" xr3:uid="{00000000-0010-0000-0000-000009000000}" name="AC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HACIENDAS" displayName="tbl_HACIENDAS" ref="A1:D487">
  <autoFilter ref="A1:D487" xr:uid="{00000000-0009-0000-0100-000002000000}"/>
  <tableColumns count="4">
    <tableColumn id="1" xr3:uid="{00000000-0010-0000-0100-000001000000}" name="CODIGO_HACIENDA"/>
    <tableColumn id="2" xr3:uid="{00000000-0010-0000-0100-000002000000}" name="NOMBRE_HACIENDA"/>
    <tableColumn id="3" xr3:uid="{00000000-0010-0000-0100-000003000000}" name="PROVEEDOR"/>
    <tableColumn id="4" xr3:uid="{00000000-0010-0000-0100-000004000000}" name="ACTI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USUARIOS" displayName="tbl_USUARIOS" ref="A1:D2">
  <autoFilter ref="A1:D2" xr:uid="{00000000-0009-0000-0100-000003000000}"/>
  <tableColumns count="4">
    <tableColumn id="1" xr3:uid="{00000000-0010-0000-0200-000001000000}" name="ID_USUARIO"/>
    <tableColumn id="2" xr3:uid="{00000000-0010-0000-0200-000002000000}" name="NOMBRE"/>
    <tableColumn id="3" xr3:uid="{00000000-0010-0000-0200-000003000000}" name="ROL"/>
    <tableColumn id="4" xr3:uid="{00000000-0010-0000-0200-000004000000}" name="AC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INVENTARIO" displayName="tbl_INVENTARIO" ref="A1:J27">
  <autoFilter ref="A1:J27" xr:uid="{00000000-0009-0000-0100-000004000000}"/>
  <tableColumns count="10">
    <tableColumn id="1" xr3:uid="{00000000-0010-0000-0300-000001000000}" name="CODIGO_MATERIAL"/>
    <tableColumn id="2" xr3:uid="{00000000-0010-0000-0300-000002000000}" name="DESCRIPCION" dataDxfId="0">
      <calculatedColumnFormula>IFERROR(VLOOKUP(A2,MATERIALES!$B:$I,2,FALSE),"")</calculatedColumnFormula>
    </tableColumn>
    <tableColumn id="3" xr3:uid="{00000000-0010-0000-0300-000003000000}" name="UNIDAD"/>
    <tableColumn id="4" xr3:uid="{00000000-0010-0000-0300-000004000000}" name="ENTRADAS"/>
    <tableColumn id="5" xr3:uid="{00000000-0010-0000-0300-000005000000}" name="CONSUMOS"/>
    <tableColumn id="6" xr3:uid="{00000000-0010-0000-0300-000006000000}" name="AJUSTES"/>
    <tableColumn id="7" xr3:uid="{00000000-0010-0000-0300-000007000000}" name="STOCK"/>
    <tableColumn id="8" xr3:uid="{00000000-0010-0000-0300-000008000000}" name="STOCK_MINIMO">
      <calculatedColumnFormula>IFERROR(VLOOKUP(A2,MATERIALES!$B:$I,7,FALSE),0)</calculatedColumnFormula>
    </tableColumn>
    <tableColumn id="9" xr3:uid="{00000000-0010-0000-0300-000009000000}" name="ESTADO"/>
    <tableColumn id="10" xr3:uid="{00000000-0010-0000-0300-00000A000000}" name="VALOR_STOCK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topLeftCell="D1" workbookViewId="0">
      <pane ySplit="1" topLeftCell="A24" activePane="bottomLeft" state="frozen"/>
      <selection pane="bottomLeft" activeCell="D32" sqref="D32"/>
    </sheetView>
  </sheetViews>
  <sheetFormatPr baseColWidth="10" defaultColWidth="8.7265625" defaultRowHeight="14.5" x14ac:dyDescent="0.35"/>
  <cols>
    <col min="1" max="1" width="14" customWidth="1"/>
    <col min="2" max="2" width="18" customWidth="1"/>
    <col min="3" max="3" width="32" customWidth="1"/>
    <col min="4" max="4" width="55" customWidth="1"/>
    <col min="5" max="6" width="14" customWidth="1"/>
    <col min="7" max="7" width="18" customWidth="1"/>
    <col min="8" max="8" width="14" customWidth="1"/>
    <col min="9" max="9" width="1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>
        <v>1795213</v>
      </c>
      <c r="C2" s="4" t="s">
        <v>1342</v>
      </c>
      <c r="D2" s="5" t="s">
        <v>1343</v>
      </c>
      <c r="E2" t="s">
        <v>9</v>
      </c>
      <c r="F2">
        <v>52.12</v>
      </c>
      <c r="G2">
        <v>453960</v>
      </c>
      <c r="H2">
        <v>0</v>
      </c>
      <c r="I2" t="s">
        <v>10</v>
      </c>
    </row>
    <row r="3" spans="1:9" x14ac:dyDescent="0.35">
      <c r="A3">
        <v>2</v>
      </c>
      <c r="B3">
        <v>1795393</v>
      </c>
      <c r="C3" s="4" t="s">
        <v>1344</v>
      </c>
      <c r="D3" s="5" t="s">
        <v>1345</v>
      </c>
      <c r="E3" t="s">
        <v>9</v>
      </c>
      <c r="F3">
        <v>52.12</v>
      </c>
      <c r="G3">
        <v>1044985</v>
      </c>
      <c r="H3">
        <v>0</v>
      </c>
      <c r="I3" t="s">
        <v>10</v>
      </c>
    </row>
    <row r="4" spans="1:9" x14ac:dyDescent="0.35">
      <c r="A4">
        <v>3</v>
      </c>
      <c r="B4">
        <v>1795573</v>
      </c>
      <c r="C4" s="4" t="s">
        <v>1346</v>
      </c>
      <c r="D4" s="5" t="s">
        <v>1347</v>
      </c>
      <c r="E4" t="s">
        <v>11</v>
      </c>
      <c r="F4">
        <v>5.79</v>
      </c>
      <c r="G4">
        <v>50440</v>
      </c>
      <c r="H4">
        <v>0</v>
      </c>
      <c r="I4" t="s">
        <v>10</v>
      </c>
    </row>
    <row r="5" spans="1:9" x14ac:dyDescent="0.35">
      <c r="A5">
        <v>4</v>
      </c>
      <c r="B5">
        <v>1795675</v>
      </c>
      <c r="C5" s="4" t="s">
        <v>1348</v>
      </c>
      <c r="D5" s="5" t="s">
        <v>1349</v>
      </c>
      <c r="E5" t="s">
        <v>11</v>
      </c>
      <c r="F5">
        <v>5.79</v>
      </c>
      <c r="G5">
        <v>111665</v>
      </c>
      <c r="H5">
        <v>0</v>
      </c>
      <c r="I5" t="s">
        <v>10</v>
      </c>
    </row>
    <row r="6" spans="1:9" x14ac:dyDescent="0.35">
      <c r="A6">
        <v>5</v>
      </c>
      <c r="B6">
        <v>1795676</v>
      </c>
      <c r="C6" s="4" t="s">
        <v>1350</v>
      </c>
      <c r="D6" s="5" t="s">
        <v>1351</v>
      </c>
      <c r="E6" t="s">
        <v>11</v>
      </c>
      <c r="F6">
        <v>6</v>
      </c>
      <c r="G6">
        <v>218700</v>
      </c>
      <c r="H6">
        <v>0</v>
      </c>
      <c r="I6" t="s">
        <v>10</v>
      </c>
    </row>
    <row r="7" spans="1:9" x14ac:dyDescent="0.35">
      <c r="A7">
        <v>6</v>
      </c>
      <c r="B7">
        <v>1795677</v>
      </c>
      <c r="C7" s="4" t="s">
        <v>1352</v>
      </c>
      <c r="D7" s="5" t="s">
        <v>1353</v>
      </c>
      <c r="E7" t="s">
        <v>11</v>
      </c>
      <c r="F7">
        <v>6</v>
      </c>
      <c r="G7">
        <v>467470</v>
      </c>
      <c r="H7">
        <v>0</v>
      </c>
      <c r="I7" t="s">
        <v>10</v>
      </c>
    </row>
    <row r="8" spans="1:9" x14ac:dyDescent="0.35">
      <c r="A8">
        <v>7</v>
      </c>
      <c r="B8">
        <v>1795773</v>
      </c>
      <c r="C8" s="4" t="s">
        <v>1354</v>
      </c>
      <c r="D8" s="5" t="s">
        <v>1355</v>
      </c>
      <c r="E8" t="s">
        <v>11</v>
      </c>
      <c r="F8">
        <v>1</v>
      </c>
      <c r="G8">
        <v>5080</v>
      </c>
      <c r="H8">
        <v>0</v>
      </c>
      <c r="I8" t="s">
        <v>10</v>
      </c>
    </row>
    <row r="9" spans="1:9" x14ac:dyDescent="0.35">
      <c r="A9">
        <v>8</v>
      </c>
      <c r="B9">
        <v>1795780</v>
      </c>
      <c r="C9" s="4" t="s">
        <v>1356</v>
      </c>
      <c r="D9" s="5" t="s">
        <v>1357</v>
      </c>
      <c r="E9" t="s">
        <v>11</v>
      </c>
      <c r="F9">
        <v>1</v>
      </c>
      <c r="G9">
        <v>10981</v>
      </c>
      <c r="H9">
        <v>0</v>
      </c>
      <c r="I9" t="s">
        <v>10</v>
      </c>
    </row>
    <row r="10" spans="1:9" x14ac:dyDescent="0.35">
      <c r="A10">
        <v>9</v>
      </c>
      <c r="B10">
        <v>1795781</v>
      </c>
      <c r="C10" s="4" t="s">
        <v>1358</v>
      </c>
      <c r="D10" s="5" t="s">
        <v>1359</v>
      </c>
      <c r="E10" t="s">
        <v>11</v>
      </c>
      <c r="F10">
        <v>1</v>
      </c>
      <c r="G10">
        <v>40792</v>
      </c>
      <c r="H10">
        <v>0</v>
      </c>
      <c r="I10" t="s">
        <v>10</v>
      </c>
    </row>
    <row r="11" spans="1:9" x14ac:dyDescent="0.35">
      <c r="A11">
        <v>10</v>
      </c>
      <c r="B11">
        <v>1795782</v>
      </c>
      <c r="C11" s="4" t="s">
        <v>1360</v>
      </c>
      <c r="D11" s="5" t="s">
        <v>1361</v>
      </c>
      <c r="E11" t="s">
        <v>11</v>
      </c>
      <c r="F11">
        <v>1</v>
      </c>
      <c r="G11">
        <v>7016</v>
      </c>
      <c r="H11">
        <v>0</v>
      </c>
      <c r="I11" t="s">
        <v>10</v>
      </c>
    </row>
    <row r="12" spans="1:9" x14ac:dyDescent="0.35">
      <c r="A12">
        <v>11</v>
      </c>
      <c r="B12">
        <v>1795783</v>
      </c>
      <c r="C12" s="4" t="s">
        <v>1362</v>
      </c>
      <c r="D12" s="5" t="s">
        <v>1363</v>
      </c>
      <c r="E12" t="s">
        <v>11</v>
      </c>
      <c r="F12">
        <v>1</v>
      </c>
      <c r="G12">
        <v>9638</v>
      </c>
      <c r="H12">
        <v>0</v>
      </c>
      <c r="I12" t="s">
        <v>10</v>
      </c>
    </row>
    <row r="13" spans="1:9" x14ac:dyDescent="0.35">
      <c r="A13">
        <v>12</v>
      </c>
      <c r="B13">
        <v>1795794</v>
      </c>
      <c r="C13" s="4" t="s">
        <v>1364</v>
      </c>
      <c r="D13" s="5" t="s">
        <v>1365</v>
      </c>
      <c r="E13" t="s">
        <v>11</v>
      </c>
      <c r="F13">
        <v>1</v>
      </c>
      <c r="G13">
        <v>29958</v>
      </c>
      <c r="H13">
        <v>0</v>
      </c>
      <c r="I13" t="s">
        <v>10</v>
      </c>
    </row>
    <row r="14" spans="1:9" x14ac:dyDescent="0.35">
      <c r="A14">
        <v>13</v>
      </c>
      <c r="B14">
        <v>1795795</v>
      </c>
      <c r="C14" s="4" t="s">
        <v>1366</v>
      </c>
      <c r="D14" s="5" t="s">
        <v>1367</v>
      </c>
      <c r="E14" t="s">
        <v>11</v>
      </c>
      <c r="F14">
        <v>1</v>
      </c>
      <c r="G14">
        <v>52670</v>
      </c>
      <c r="H14">
        <v>0</v>
      </c>
      <c r="I14" t="s">
        <v>10</v>
      </c>
    </row>
    <row r="15" spans="1:9" x14ac:dyDescent="0.35">
      <c r="A15">
        <v>14</v>
      </c>
      <c r="B15">
        <v>1795796</v>
      </c>
      <c r="C15" s="4" t="s">
        <v>1368</v>
      </c>
      <c r="D15" s="5" t="s">
        <v>1369</v>
      </c>
      <c r="E15" t="s">
        <v>11</v>
      </c>
      <c r="F15">
        <v>1</v>
      </c>
      <c r="G15">
        <v>193086</v>
      </c>
      <c r="H15">
        <v>0</v>
      </c>
      <c r="I15" t="s">
        <v>10</v>
      </c>
    </row>
    <row r="16" spans="1:9" x14ac:dyDescent="0.35">
      <c r="A16">
        <v>15</v>
      </c>
      <c r="B16">
        <v>1795797</v>
      </c>
      <c r="C16" s="4" t="s">
        <v>1370</v>
      </c>
      <c r="D16" s="5" t="s">
        <v>1371</v>
      </c>
      <c r="E16" t="s">
        <v>11</v>
      </c>
      <c r="F16">
        <v>1</v>
      </c>
      <c r="G16">
        <v>22589</v>
      </c>
      <c r="H16">
        <v>0</v>
      </c>
      <c r="I16" t="s">
        <v>10</v>
      </c>
    </row>
    <row r="17" spans="1:9" x14ac:dyDescent="0.35">
      <c r="A17">
        <v>16</v>
      </c>
      <c r="B17">
        <v>1795798</v>
      </c>
      <c r="C17" s="4" t="s">
        <v>1372</v>
      </c>
      <c r="D17" s="5" t="s">
        <v>1373</v>
      </c>
      <c r="E17" t="s">
        <v>11</v>
      </c>
      <c r="F17">
        <v>1</v>
      </c>
      <c r="G17">
        <v>442700</v>
      </c>
      <c r="H17">
        <v>0</v>
      </c>
      <c r="I17" t="s">
        <v>10</v>
      </c>
    </row>
    <row r="18" spans="1:9" x14ac:dyDescent="0.35">
      <c r="A18">
        <v>17</v>
      </c>
      <c r="B18">
        <v>1795799</v>
      </c>
      <c r="C18" s="4" t="s">
        <v>1374</v>
      </c>
      <c r="D18" s="5" t="s">
        <v>1375</v>
      </c>
      <c r="E18" t="s">
        <v>11</v>
      </c>
      <c r="F18">
        <v>1</v>
      </c>
      <c r="G18">
        <v>4997885</v>
      </c>
      <c r="H18">
        <v>0</v>
      </c>
      <c r="I18" t="s">
        <v>10</v>
      </c>
    </row>
    <row r="19" spans="1:9" x14ac:dyDescent="0.35">
      <c r="A19">
        <v>18</v>
      </c>
      <c r="B19">
        <v>1795800</v>
      </c>
      <c r="C19" s="4" t="s">
        <v>1376</v>
      </c>
      <c r="D19" s="5" t="s">
        <v>1377</v>
      </c>
      <c r="E19" t="s">
        <v>11</v>
      </c>
      <c r="F19">
        <v>1</v>
      </c>
      <c r="G19">
        <v>6876330</v>
      </c>
      <c r="H19">
        <v>0</v>
      </c>
      <c r="I19" t="s">
        <v>10</v>
      </c>
    </row>
    <row r="20" spans="1:9" x14ac:dyDescent="0.35">
      <c r="A20">
        <v>19</v>
      </c>
      <c r="B20">
        <v>1798654</v>
      </c>
      <c r="C20" s="4" t="s">
        <v>1350</v>
      </c>
      <c r="D20" s="5" t="s">
        <v>1378</v>
      </c>
      <c r="E20" t="s">
        <v>11</v>
      </c>
      <c r="F20">
        <v>6</v>
      </c>
      <c r="G20">
        <v>207765</v>
      </c>
      <c r="H20">
        <v>0</v>
      </c>
      <c r="I20" t="s">
        <v>10</v>
      </c>
    </row>
    <row r="21" spans="1:9" x14ac:dyDescent="0.35">
      <c r="A21">
        <v>20</v>
      </c>
      <c r="B21">
        <v>1798443</v>
      </c>
      <c r="C21" s="4" t="s">
        <v>1348</v>
      </c>
      <c r="D21" s="5" t="s">
        <v>1379</v>
      </c>
      <c r="E21" t="s">
        <v>11</v>
      </c>
      <c r="F21">
        <v>5.79</v>
      </c>
      <c r="G21">
        <v>113893</v>
      </c>
      <c r="H21">
        <v>0</v>
      </c>
      <c r="I21" t="s">
        <v>10</v>
      </c>
    </row>
    <row r="22" spans="1:9" x14ac:dyDescent="0.35">
      <c r="A22">
        <v>21</v>
      </c>
      <c r="B22">
        <v>1798664</v>
      </c>
      <c r="C22" s="4" t="s">
        <v>1380</v>
      </c>
      <c r="D22" s="5" t="s">
        <v>1381</v>
      </c>
      <c r="E22" t="s">
        <v>11</v>
      </c>
      <c r="F22">
        <v>1</v>
      </c>
      <c r="G22">
        <v>4195800</v>
      </c>
      <c r="H22">
        <v>0</v>
      </c>
      <c r="I22" t="s">
        <v>10</v>
      </c>
    </row>
    <row r="23" spans="1:9" x14ac:dyDescent="0.35">
      <c r="A23">
        <v>22</v>
      </c>
      <c r="B23">
        <v>1798665</v>
      </c>
      <c r="C23" s="4" t="s">
        <v>1382</v>
      </c>
      <c r="D23" s="5" t="s">
        <v>1383</v>
      </c>
      <c r="E23" t="s">
        <v>11</v>
      </c>
      <c r="F23">
        <v>1</v>
      </c>
      <c r="G23">
        <v>39550</v>
      </c>
      <c r="H23">
        <v>0</v>
      </c>
      <c r="I23" t="s">
        <v>10</v>
      </c>
    </row>
    <row r="24" spans="1:9" x14ac:dyDescent="0.35">
      <c r="A24">
        <v>23</v>
      </c>
      <c r="B24">
        <v>1798666</v>
      </c>
      <c r="C24" s="4" t="s">
        <v>1384</v>
      </c>
      <c r="D24" s="5" t="s">
        <v>1385</v>
      </c>
      <c r="E24" t="s">
        <v>11</v>
      </c>
      <c r="F24">
        <v>1</v>
      </c>
      <c r="G24">
        <v>24850</v>
      </c>
      <c r="H24">
        <v>0</v>
      </c>
      <c r="I24" t="s">
        <v>10</v>
      </c>
    </row>
    <row r="25" spans="1:9" x14ac:dyDescent="0.35">
      <c r="A25">
        <v>24</v>
      </c>
      <c r="B25">
        <v>1798980</v>
      </c>
      <c r="C25" s="4" t="s">
        <v>1386</v>
      </c>
      <c r="D25" s="4" t="s">
        <v>1387</v>
      </c>
      <c r="E25" t="s">
        <v>11</v>
      </c>
      <c r="F25">
        <v>1</v>
      </c>
      <c r="G25">
        <v>39273</v>
      </c>
      <c r="H25">
        <v>0</v>
      </c>
      <c r="I25" t="s">
        <v>10</v>
      </c>
    </row>
    <row r="26" spans="1:9" x14ac:dyDescent="0.35">
      <c r="A26">
        <v>25</v>
      </c>
      <c r="B26">
        <v>1798981</v>
      </c>
      <c r="C26" s="4" t="s">
        <v>1388</v>
      </c>
      <c r="D26" s="4" t="s">
        <v>1389</v>
      </c>
      <c r="E26" t="s">
        <v>11</v>
      </c>
      <c r="F26">
        <v>1</v>
      </c>
      <c r="G26">
        <v>39273</v>
      </c>
      <c r="H26">
        <v>0</v>
      </c>
      <c r="I26" t="s">
        <v>10</v>
      </c>
    </row>
    <row r="27" spans="1:9" x14ac:dyDescent="0.35">
      <c r="A27">
        <v>26</v>
      </c>
      <c r="B27">
        <v>1798982</v>
      </c>
      <c r="C27" s="4" t="s">
        <v>1390</v>
      </c>
      <c r="D27" s="4" t="s">
        <v>1391</v>
      </c>
      <c r="E27" t="s">
        <v>11</v>
      </c>
      <c r="F27">
        <v>1</v>
      </c>
      <c r="G27">
        <v>58124</v>
      </c>
      <c r="H27">
        <v>0</v>
      </c>
      <c r="I27" t="s">
        <v>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7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35" customWidth="1"/>
    <col min="3" max="3" width="25" customWidth="1"/>
    <col min="4" max="4" width="12" customWidth="1"/>
  </cols>
  <sheetData>
    <row r="1" spans="1:4" x14ac:dyDescent="0.35">
      <c r="A1" s="1" t="s">
        <v>12</v>
      </c>
      <c r="B1" s="1" t="s">
        <v>13</v>
      </c>
      <c r="C1" s="1" t="s">
        <v>14</v>
      </c>
      <c r="D1" s="1" t="s">
        <v>8</v>
      </c>
    </row>
    <row r="2" spans="1:4" x14ac:dyDescent="0.35">
      <c r="A2" t="s">
        <v>15</v>
      </c>
      <c r="B2" t="s">
        <v>16</v>
      </c>
      <c r="C2" t="s">
        <v>17</v>
      </c>
      <c r="D2" t="s">
        <v>10</v>
      </c>
    </row>
    <row r="3" spans="1:4" x14ac:dyDescent="0.35">
      <c r="A3" t="s">
        <v>18</v>
      </c>
      <c r="B3" t="s">
        <v>19</v>
      </c>
      <c r="C3" t="s">
        <v>17</v>
      </c>
      <c r="D3" t="s">
        <v>10</v>
      </c>
    </row>
    <row r="4" spans="1:4" x14ac:dyDescent="0.35">
      <c r="A4" t="s">
        <v>20</v>
      </c>
      <c r="B4" t="s">
        <v>21</v>
      </c>
      <c r="C4" t="s">
        <v>17</v>
      </c>
      <c r="D4" t="s">
        <v>10</v>
      </c>
    </row>
    <row r="5" spans="1:4" x14ac:dyDescent="0.35">
      <c r="A5" t="s">
        <v>22</v>
      </c>
      <c r="B5" t="s">
        <v>23</v>
      </c>
      <c r="C5" t="s">
        <v>17</v>
      </c>
      <c r="D5" t="s">
        <v>10</v>
      </c>
    </row>
    <row r="6" spans="1:4" x14ac:dyDescent="0.35">
      <c r="A6" t="s">
        <v>24</v>
      </c>
      <c r="B6" t="s">
        <v>25</v>
      </c>
      <c r="C6" t="s">
        <v>17</v>
      </c>
      <c r="D6" t="s">
        <v>10</v>
      </c>
    </row>
    <row r="7" spans="1:4" x14ac:dyDescent="0.35">
      <c r="A7" t="s">
        <v>26</v>
      </c>
      <c r="B7" t="s">
        <v>27</v>
      </c>
      <c r="C7" t="s">
        <v>17</v>
      </c>
      <c r="D7" t="s">
        <v>10</v>
      </c>
    </row>
    <row r="8" spans="1:4" x14ac:dyDescent="0.35">
      <c r="A8" t="s">
        <v>28</v>
      </c>
      <c r="B8" t="s">
        <v>29</v>
      </c>
      <c r="C8" t="s">
        <v>17</v>
      </c>
      <c r="D8" t="s">
        <v>10</v>
      </c>
    </row>
    <row r="9" spans="1:4" x14ac:dyDescent="0.35">
      <c r="A9" t="s">
        <v>30</v>
      </c>
      <c r="B9" t="s">
        <v>31</v>
      </c>
      <c r="C9" t="s">
        <v>17</v>
      </c>
      <c r="D9" t="s">
        <v>10</v>
      </c>
    </row>
    <row r="10" spans="1:4" x14ac:dyDescent="0.35">
      <c r="A10" t="s">
        <v>32</v>
      </c>
      <c r="B10" t="s">
        <v>33</v>
      </c>
      <c r="C10" t="s">
        <v>17</v>
      </c>
      <c r="D10" t="s">
        <v>10</v>
      </c>
    </row>
    <row r="11" spans="1:4" x14ac:dyDescent="0.35">
      <c r="A11" t="s">
        <v>34</v>
      </c>
      <c r="B11" t="s">
        <v>35</v>
      </c>
      <c r="C11" t="s">
        <v>17</v>
      </c>
      <c r="D11" t="s">
        <v>10</v>
      </c>
    </row>
    <row r="12" spans="1:4" x14ac:dyDescent="0.35">
      <c r="A12" t="s">
        <v>36</v>
      </c>
      <c r="B12" t="s">
        <v>37</v>
      </c>
      <c r="C12" t="s">
        <v>17</v>
      </c>
      <c r="D12" t="s">
        <v>10</v>
      </c>
    </row>
    <row r="13" spans="1:4" x14ac:dyDescent="0.35">
      <c r="A13" t="s">
        <v>38</v>
      </c>
      <c r="B13" t="s">
        <v>39</v>
      </c>
      <c r="C13" t="s">
        <v>17</v>
      </c>
      <c r="D13" t="s">
        <v>10</v>
      </c>
    </row>
    <row r="14" spans="1:4" x14ac:dyDescent="0.35">
      <c r="A14" t="s">
        <v>40</v>
      </c>
      <c r="B14" t="s">
        <v>41</v>
      </c>
      <c r="C14" t="s">
        <v>17</v>
      </c>
      <c r="D14" t="s">
        <v>10</v>
      </c>
    </row>
    <row r="15" spans="1:4" x14ac:dyDescent="0.35">
      <c r="A15" t="s">
        <v>42</v>
      </c>
      <c r="B15" t="s">
        <v>43</v>
      </c>
      <c r="C15" t="s">
        <v>17</v>
      </c>
      <c r="D15" t="s">
        <v>10</v>
      </c>
    </row>
    <row r="16" spans="1:4" x14ac:dyDescent="0.35">
      <c r="A16" t="s">
        <v>44</v>
      </c>
      <c r="B16" t="s">
        <v>45</v>
      </c>
      <c r="C16" t="s">
        <v>17</v>
      </c>
      <c r="D16" t="s">
        <v>10</v>
      </c>
    </row>
    <row r="17" spans="1:4" x14ac:dyDescent="0.35">
      <c r="A17" t="s">
        <v>46</v>
      </c>
      <c r="B17" t="s">
        <v>47</v>
      </c>
      <c r="C17" t="s">
        <v>17</v>
      </c>
      <c r="D17" t="s">
        <v>10</v>
      </c>
    </row>
    <row r="18" spans="1:4" x14ac:dyDescent="0.35">
      <c r="A18" t="s">
        <v>48</v>
      </c>
      <c r="B18" t="s">
        <v>49</v>
      </c>
      <c r="C18" t="s">
        <v>17</v>
      </c>
      <c r="D18" t="s">
        <v>10</v>
      </c>
    </row>
    <row r="19" spans="1:4" x14ac:dyDescent="0.35">
      <c r="A19" t="s">
        <v>50</v>
      </c>
      <c r="B19" t="s">
        <v>51</v>
      </c>
      <c r="C19" t="s">
        <v>17</v>
      </c>
      <c r="D19" t="s">
        <v>10</v>
      </c>
    </row>
    <row r="20" spans="1:4" x14ac:dyDescent="0.35">
      <c r="A20" t="s">
        <v>52</v>
      </c>
      <c r="B20" t="s">
        <v>53</v>
      </c>
      <c r="C20" t="s">
        <v>17</v>
      </c>
      <c r="D20" t="s">
        <v>10</v>
      </c>
    </row>
    <row r="21" spans="1:4" x14ac:dyDescent="0.35">
      <c r="A21" t="s">
        <v>54</v>
      </c>
      <c r="B21" t="s">
        <v>55</v>
      </c>
      <c r="C21" t="s">
        <v>17</v>
      </c>
      <c r="D21" t="s">
        <v>10</v>
      </c>
    </row>
    <row r="22" spans="1:4" x14ac:dyDescent="0.35">
      <c r="A22" t="s">
        <v>56</v>
      </c>
      <c r="B22" t="s">
        <v>57</v>
      </c>
      <c r="C22" t="s">
        <v>17</v>
      </c>
      <c r="D22" t="s">
        <v>10</v>
      </c>
    </row>
    <row r="23" spans="1:4" x14ac:dyDescent="0.35">
      <c r="A23" t="s">
        <v>58</v>
      </c>
      <c r="B23" t="s">
        <v>59</v>
      </c>
      <c r="C23" t="s">
        <v>17</v>
      </c>
      <c r="D23" t="s">
        <v>10</v>
      </c>
    </row>
    <row r="24" spans="1:4" x14ac:dyDescent="0.35">
      <c r="A24" t="s">
        <v>60</v>
      </c>
      <c r="B24" t="s">
        <v>61</v>
      </c>
      <c r="C24" t="s">
        <v>17</v>
      </c>
      <c r="D24" t="s">
        <v>10</v>
      </c>
    </row>
    <row r="25" spans="1:4" x14ac:dyDescent="0.35">
      <c r="A25" t="s">
        <v>62</v>
      </c>
      <c r="B25" t="s">
        <v>63</v>
      </c>
      <c r="C25" t="s">
        <v>17</v>
      </c>
      <c r="D25" t="s">
        <v>10</v>
      </c>
    </row>
    <row r="26" spans="1:4" x14ac:dyDescent="0.35">
      <c r="A26" t="s">
        <v>64</v>
      </c>
      <c r="B26" t="s">
        <v>65</v>
      </c>
      <c r="C26" t="s">
        <v>17</v>
      </c>
      <c r="D26" t="s">
        <v>10</v>
      </c>
    </row>
    <row r="27" spans="1:4" x14ac:dyDescent="0.35">
      <c r="A27" t="s">
        <v>66</v>
      </c>
      <c r="B27" t="s">
        <v>67</v>
      </c>
      <c r="C27" t="s">
        <v>17</v>
      </c>
      <c r="D27" t="s">
        <v>10</v>
      </c>
    </row>
    <row r="28" spans="1:4" x14ac:dyDescent="0.35">
      <c r="A28" t="s">
        <v>68</v>
      </c>
      <c r="B28" t="s">
        <v>69</v>
      </c>
      <c r="C28" t="s">
        <v>17</v>
      </c>
      <c r="D28" t="s">
        <v>10</v>
      </c>
    </row>
    <row r="29" spans="1:4" x14ac:dyDescent="0.35">
      <c r="A29" t="s">
        <v>70</v>
      </c>
      <c r="B29" t="s">
        <v>71</v>
      </c>
      <c r="C29" t="s">
        <v>17</v>
      </c>
      <c r="D29" t="s">
        <v>10</v>
      </c>
    </row>
    <row r="30" spans="1:4" x14ac:dyDescent="0.35">
      <c r="A30" t="s">
        <v>72</v>
      </c>
      <c r="B30" t="s">
        <v>73</v>
      </c>
      <c r="C30" t="s">
        <v>17</v>
      </c>
      <c r="D30" t="s">
        <v>10</v>
      </c>
    </row>
    <row r="31" spans="1:4" x14ac:dyDescent="0.35">
      <c r="A31" t="s">
        <v>74</v>
      </c>
      <c r="B31" t="s">
        <v>75</v>
      </c>
      <c r="C31" t="s">
        <v>17</v>
      </c>
      <c r="D31" t="s">
        <v>10</v>
      </c>
    </row>
    <row r="32" spans="1:4" x14ac:dyDescent="0.35">
      <c r="A32" t="s">
        <v>76</v>
      </c>
      <c r="B32" t="s">
        <v>77</v>
      </c>
      <c r="C32" t="s">
        <v>17</v>
      </c>
      <c r="D32" t="s">
        <v>10</v>
      </c>
    </row>
    <row r="33" spans="1:4" x14ac:dyDescent="0.35">
      <c r="A33" t="s">
        <v>78</v>
      </c>
      <c r="B33" t="s">
        <v>79</v>
      </c>
      <c r="C33" t="s">
        <v>17</v>
      </c>
      <c r="D33" t="s">
        <v>10</v>
      </c>
    </row>
    <row r="34" spans="1:4" x14ac:dyDescent="0.35">
      <c r="A34" t="s">
        <v>80</v>
      </c>
      <c r="B34" t="s">
        <v>81</v>
      </c>
      <c r="C34" t="s">
        <v>17</v>
      </c>
      <c r="D34" t="s">
        <v>10</v>
      </c>
    </row>
    <row r="35" spans="1:4" x14ac:dyDescent="0.35">
      <c r="A35" t="s">
        <v>82</v>
      </c>
      <c r="B35" t="s">
        <v>83</v>
      </c>
      <c r="C35" t="s">
        <v>17</v>
      </c>
      <c r="D35" t="s">
        <v>10</v>
      </c>
    </row>
    <row r="36" spans="1:4" x14ac:dyDescent="0.35">
      <c r="A36" t="s">
        <v>84</v>
      </c>
      <c r="B36" t="s">
        <v>85</v>
      </c>
      <c r="C36" t="s">
        <v>17</v>
      </c>
      <c r="D36" t="s">
        <v>10</v>
      </c>
    </row>
    <row r="37" spans="1:4" x14ac:dyDescent="0.35">
      <c r="A37" t="s">
        <v>86</v>
      </c>
      <c r="B37" t="s">
        <v>87</v>
      </c>
      <c r="C37" t="s">
        <v>17</v>
      </c>
      <c r="D37" t="s">
        <v>10</v>
      </c>
    </row>
    <row r="38" spans="1:4" x14ac:dyDescent="0.35">
      <c r="A38" t="s">
        <v>88</v>
      </c>
      <c r="B38" t="s">
        <v>89</v>
      </c>
      <c r="C38" t="s">
        <v>17</v>
      </c>
      <c r="D38" t="s">
        <v>10</v>
      </c>
    </row>
    <row r="39" spans="1:4" x14ac:dyDescent="0.35">
      <c r="A39" t="s">
        <v>90</v>
      </c>
      <c r="B39" t="s">
        <v>91</v>
      </c>
      <c r="C39" t="s">
        <v>17</v>
      </c>
      <c r="D39" t="s">
        <v>10</v>
      </c>
    </row>
    <row r="40" spans="1:4" x14ac:dyDescent="0.35">
      <c r="A40" t="s">
        <v>92</v>
      </c>
      <c r="B40" t="s">
        <v>93</v>
      </c>
      <c r="C40" t="s">
        <v>17</v>
      </c>
      <c r="D40" t="s">
        <v>10</v>
      </c>
    </row>
    <row r="41" spans="1:4" x14ac:dyDescent="0.35">
      <c r="A41" t="s">
        <v>94</v>
      </c>
      <c r="B41" t="s">
        <v>95</v>
      </c>
      <c r="C41" t="s">
        <v>17</v>
      </c>
      <c r="D41" t="s">
        <v>10</v>
      </c>
    </row>
    <row r="42" spans="1:4" x14ac:dyDescent="0.35">
      <c r="A42" t="s">
        <v>96</v>
      </c>
      <c r="B42" t="s">
        <v>97</v>
      </c>
      <c r="C42" t="s">
        <v>17</v>
      </c>
      <c r="D42" t="s">
        <v>10</v>
      </c>
    </row>
    <row r="43" spans="1:4" x14ac:dyDescent="0.35">
      <c r="A43" t="s">
        <v>98</v>
      </c>
      <c r="B43" t="s">
        <v>99</v>
      </c>
      <c r="C43" t="s">
        <v>17</v>
      </c>
      <c r="D43" t="s">
        <v>10</v>
      </c>
    </row>
    <row r="44" spans="1:4" x14ac:dyDescent="0.35">
      <c r="A44" t="s">
        <v>100</v>
      </c>
      <c r="B44" t="s">
        <v>101</v>
      </c>
      <c r="C44" t="s">
        <v>17</v>
      </c>
      <c r="D44" t="s">
        <v>10</v>
      </c>
    </row>
    <row r="45" spans="1:4" x14ac:dyDescent="0.35">
      <c r="A45" t="s">
        <v>102</v>
      </c>
      <c r="B45" t="s">
        <v>103</v>
      </c>
      <c r="C45" t="s">
        <v>17</v>
      </c>
      <c r="D45" t="s">
        <v>10</v>
      </c>
    </row>
    <row r="46" spans="1:4" x14ac:dyDescent="0.35">
      <c r="A46" t="s">
        <v>104</v>
      </c>
      <c r="B46" t="s">
        <v>105</v>
      </c>
      <c r="C46" t="s">
        <v>106</v>
      </c>
      <c r="D46" t="s">
        <v>10</v>
      </c>
    </row>
    <row r="47" spans="1:4" x14ac:dyDescent="0.35">
      <c r="A47" t="s">
        <v>107</v>
      </c>
      <c r="B47" t="s">
        <v>108</v>
      </c>
      <c r="C47" t="s">
        <v>109</v>
      </c>
      <c r="D47" t="s">
        <v>10</v>
      </c>
    </row>
    <row r="48" spans="1:4" x14ac:dyDescent="0.35">
      <c r="A48" t="s">
        <v>110</v>
      </c>
      <c r="B48" t="s">
        <v>111</v>
      </c>
      <c r="C48" t="s">
        <v>112</v>
      </c>
      <c r="D48" t="s">
        <v>10</v>
      </c>
    </row>
    <row r="49" spans="1:4" x14ac:dyDescent="0.35">
      <c r="A49" t="s">
        <v>113</v>
      </c>
      <c r="B49" t="s">
        <v>114</v>
      </c>
      <c r="C49" t="s">
        <v>115</v>
      </c>
      <c r="D49" t="s">
        <v>10</v>
      </c>
    </row>
    <row r="50" spans="1:4" x14ac:dyDescent="0.35">
      <c r="A50" t="s">
        <v>116</v>
      </c>
      <c r="B50" t="s">
        <v>117</v>
      </c>
      <c r="C50" t="s">
        <v>118</v>
      </c>
      <c r="D50" t="s">
        <v>10</v>
      </c>
    </row>
    <row r="51" spans="1:4" x14ac:dyDescent="0.35">
      <c r="A51" t="s">
        <v>119</v>
      </c>
      <c r="B51" t="s">
        <v>120</v>
      </c>
      <c r="C51" t="s">
        <v>121</v>
      </c>
      <c r="D51" t="s">
        <v>10</v>
      </c>
    </row>
    <row r="52" spans="1:4" x14ac:dyDescent="0.35">
      <c r="A52" t="s">
        <v>122</v>
      </c>
      <c r="B52" t="s">
        <v>123</v>
      </c>
      <c r="C52" t="s">
        <v>124</v>
      </c>
      <c r="D52" t="s">
        <v>10</v>
      </c>
    </row>
    <row r="53" spans="1:4" x14ac:dyDescent="0.35">
      <c r="A53" t="s">
        <v>125</v>
      </c>
      <c r="B53" t="s">
        <v>126</v>
      </c>
      <c r="C53" t="s">
        <v>127</v>
      </c>
      <c r="D53" t="s">
        <v>10</v>
      </c>
    </row>
    <row r="54" spans="1:4" x14ac:dyDescent="0.35">
      <c r="A54" t="s">
        <v>128</v>
      </c>
      <c r="B54" t="s">
        <v>129</v>
      </c>
      <c r="C54" t="s">
        <v>130</v>
      </c>
      <c r="D54" t="s">
        <v>10</v>
      </c>
    </row>
    <row r="55" spans="1:4" x14ac:dyDescent="0.35">
      <c r="A55" t="s">
        <v>131</v>
      </c>
      <c r="B55" t="s">
        <v>132</v>
      </c>
      <c r="C55" t="s">
        <v>133</v>
      </c>
      <c r="D55" t="s">
        <v>10</v>
      </c>
    </row>
    <row r="56" spans="1:4" x14ac:dyDescent="0.35">
      <c r="A56" t="s">
        <v>134</v>
      </c>
      <c r="B56" t="s">
        <v>135</v>
      </c>
      <c r="C56" t="s">
        <v>136</v>
      </c>
      <c r="D56" t="s">
        <v>10</v>
      </c>
    </row>
    <row r="57" spans="1:4" x14ac:dyDescent="0.35">
      <c r="A57" t="s">
        <v>137</v>
      </c>
      <c r="B57" t="s">
        <v>138</v>
      </c>
      <c r="C57" t="s">
        <v>139</v>
      </c>
      <c r="D57" t="s">
        <v>10</v>
      </c>
    </row>
    <row r="58" spans="1:4" x14ac:dyDescent="0.35">
      <c r="A58" t="s">
        <v>140</v>
      </c>
      <c r="B58" t="s">
        <v>141</v>
      </c>
      <c r="C58" t="s">
        <v>142</v>
      </c>
      <c r="D58" t="s">
        <v>10</v>
      </c>
    </row>
    <row r="59" spans="1:4" x14ac:dyDescent="0.35">
      <c r="A59" t="s">
        <v>143</v>
      </c>
      <c r="B59" t="s">
        <v>144</v>
      </c>
      <c r="C59" t="s">
        <v>145</v>
      </c>
      <c r="D59" t="s">
        <v>10</v>
      </c>
    </row>
    <row r="60" spans="1:4" x14ac:dyDescent="0.35">
      <c r="A60" t="s">
        <v>146</v>
      </c>
      <c r="B60" t="s">
        <v>147</v>
      </c>
      <c r="C60" t="s">
        <v>148</v>
      </c>
      <c r="D60" t="s">
        <v>10</v>
      </c>
    </row>
    <row r="61" spans="1:4" x14ac:dyDescent="0.35">
      <c r="A61" t="s">
        <v>149</v>
      </c>
      <c r="B61" t="s">
        <v>150</v>
      </c>
      <c r="C61" t="s">
        <v>151</v>
      </c>
      <c r="D61" t="s">
        <v>10</v>
      </c>
    </row>
    <row r="62" spans="1:4" x14ac:dyDescent="0.35">
      <c r="A62" t="s">
        <v>152</v>
      </c>
      <c r="B62" t="s">
        <v>153</v>
      </c>
      <c r="C62" t="s">
        <v>154</v>
      </c>
      <c r="D62" t="s">
        <v>10</v>
      </c>
    </row>
    <row r="63" spans="1:4" x14ac:dyDescent="0.35">
      <c r="A63" t="s">
        <v>155</v>
      </c>
      <c r="B63" t="s">
        <v>156</v>
      </c>
      <c r="C63" t="s">
        <v>157</v>
      </c>
      <c r="D63" t="s">
        <v>10</v>
      </c>
    </row>
    <row r="64" spans="1:4" x14ac:dyDescent="0.35">
      <c r="A64" t="s">
        <v>158</v>
      </c>
      <c r="B64" t="s">
        <v>159</v>
      </c>
      <c r="C64" t="s">
        <v>160</v>
      </c>
      <c r="D64" t="s">
        <v>10</v>
      </c>
    </row>
    <row r="65" spans="1:4" x14ac:dyDescent="0.35">
      <c r="A65" t="s">
        <v>161</v>
      </c>
      <c r="B65" t="s">
        <v>162</v>
      </c>
      <c r="C65" t="s">
        <v>163</v>
      </c>
      <c r="D65" t="s">
        <v>10</v>
      </c>
    </row>
    <row r="66" spans="1:4" x14ac:dyDescent="0.35">
      <c r="A66" t="s">
        <v>164</v>
      </c>
      <c r="B66" t="s">
        <v>165</v>
      </c>
      <c r="C66" t="s">
        <v>145</v>
      </c>
      <c r="D66" t="s">
        <v>10</v>
      </c>
    </row>
    <row r="67" spans="1:4" x14ac:dyDescent="0.35">
      <c r="A67" t="s">
        <v>166</v>
      </c>
      <c r="B67" t="s">
        <v>167</v>
      </c>
      <c r="C67" t="s">
        <v>168</v>
      </c>
      <c r="D67" t="s">
        <v>10</v>
      </c>
    </row>
    <row r="68" spans="1:4" x14ac:dyDescent="0.35">
      <c r="A68" t="s">
        <v>169</v>
      </c>
      <c r="B68" t="s">
        <v>170</v>
      </c>
      <c r="C68" t="s">
        <v>171</v>
      </c>
      <c r="D68" t="s">
        <v>10</v>
      </c>
    </row>
    <row r="69" spans="1:4" x14ac:dyDescent="0.35">
      <c r="A69" t="s">
        <v>172</v>
      </c>
      <c r="B69" t="s">
        <v>173</v>
      </c>
      <c r="C69" t="s">
        <v>174</v>
      </c>
      <c r="D69" t="s">
        <v>10</v>
      </c>
    </row>
    <row r="70" spans="1:4" x14ac:dyDescent="0.35">
      <c r="A70" t="s">
        <v>175</v>
      </c>
      <c r="B70" t="s">
        <v>176</v>
      </c>
      <c r="C70" t="s">
        <v>171</v>
      </c>
      <c r="D70" t="s">
        <v>10</v>
      </c>
    </row>
    <row r="71" spans="1:4" x14ac:dyDescent="0.35">
      <c r="A71" t="s">
        <v>177</v>
      </c>
      <c r="B71" t="s">
        <v>178</v>
      </c>
      <c r="C71" t="s">
        <v>179</v>
      </c>
      <c r="D71" t="s">
        <v>10</v>
      </c>
    </row>
    <row r="72" spans="1:4" x14ac:dyDescent="0.35">
      <c r="A72" t="s">
        <v>180</v>
      </c>
      <c r="B72" t="s">
        <v>181</v>
      </c>
      <c r="C72" t="s">
        <v>182</v>
      </c>
      <c r="D72" t="s">
        <v>10</v>
      </c>
    </row>
    <row r="73" spans="1:4" x14ac:dyDescent="0.35">
      <c r="A73" t="s">
        <v>183</v>
      </c>
      <c r="B73" t="s">
        <v>184</v>
      </c>
      <c r="C73" t="s">
        <v>185</v>
      </c>
      <c r="D73" t="s">
        <v>10</v>
      </c>
    </row>
    <row r="74" spans="1:4" x14ac:dyDescent="0.35">
      <c r="A74" t="s">
        <v>186</v>
      </c>
      <c r="B74" t="s">
        <v>187</v>
      </c>
      <c r="C74" t="s">
        <v>188</v>
      </c>
      <c r="D74" t="s">
        <v>10</v>
      </c>
    </row>
    <row r="75" spans="1:4" x14ac:dyDescent="0.35">
      <c r="A75" t="s">
        <v>189</v>
      </c>
      <c r="B75" t="s">
        <v>190</v>
      </c>
      <c r="C75" t="s">
        <v>191</v>
      </c>
      <c r="D75" t="s">
        <v>10</v>
      </c>
    </row>
    <row r="76" spans="1:4" x14ac:dyDescent="0.35">
      <c r="A76" t="s">
        <v>192</v>
      </c>
      <c r="B76" t="s">
        <v>193</v>
      </c>
      <c r="C76" t="s">
        <v>194</v>
      </c>
      <c r="D76" t="s">
        <v>10</v>
      </c>
    </row>
    <row r="77" spans="1:4" x14ac:dyDescent="0.35">
      <c r="A77" t="s">
        <v>195</v>
      </c>
      <c r="B77" t="s">
        <v>196</v>
      </c>
      <c r="C77" t="s">
        <v>197</v>
      </c>
      <c r="D77" t="s">
        <v>10</v>
      </c>
    </row>
    <row r="78" spans="1:4" x14ac:dyDescent="0.35">
      <c r="A78" t="s">
        <v>198</v>
      </c>
      <c r="B78" t="s">
        <v>199</v>
      </c>
      <c r="C78" t="s">
        <v>200</v>
      </c>
      <c r="D78" t="s">
        <v>10</v>
      </c>
    </row>
    <row r="79" spans="1:4" x14ac:dyDescent="0.35">
      <c r="A79" t="s">
        <v>201</v>
      </c>
      <c r="B79" t="s">
        <v>202</v>
      </c>
      <c r="C79" t="s">
        <v>203</v>
      </c>
      <c r="D79" t="s">
        <v>10</v>
      </c>
    </row>
    <row r="80" spans="1:4" x14ac:dyDescent="0.35">
      <c r="A80" t="s">
        <v>204</v>
      </c>
      <c r="B80" t="s">
        <v>205</v>
      </c>
      <c r="C80" t="s">
        <v>206</v>
      </c>
      <c r="D80" t="s">
        <v>10</v>
      </c>
    </row>
    <row r="81" spans="1:4" x14ac:dyDescent="0.35">
      <c r="A81" t="s">
        <v>207</v>
      </c>
      <c r="B81" t="s">
        <v>208</v>
      </c>
      <c r="C81" t="s">
        <v>209</v>
      </c>
      <c r="D81" t="s">
        <v>10</v>
      </c>
    </row>
    <row r="82" spans="1:4" x14ac:dyDescent="0.35">
      <c r="A82" t="s">
        <v>210</v>
      </c>
      <c r="B82" t="s">
        <v>211</v>
      </c>
      <c r="C82" t="s">
        <v>212</v>
      </c>
      <c r="D82" t="s">
        <v>10</v>
      </c>
    </row>
    <row r="83" spans="1:4" x14ac:dyDescent="0.35">
      <c r="A83" t="s">
        <v>213</v>
      </c>
      <c r="B83" t="s">
        <v>214</v>
      </c>
      <c r="C83" t="s">
        <v>215</v>
      </c>
      <c r="D83" t="s">
        <v>10</v>
      </c>
    </row>
    <row r="84" spans="1:4" x14ac:dyDescent="0.35">
      <c r="A84" t="s">
        <v>216</v>
      </c>
      <c r="B84" t="s">
        <v>217</v>
      </c>
      <c r="C84" t="s">
        <v>218</v>
      </c>
      <c r="D84" t="s">
        <v>10</v>
      </c>
    </row>
    <row r="85" spans="1:4" x14ac:dyDescent="0.35">
      <c r="A85" t="s">
        <v>219</v>
      </c>
      <c r="B85" t="s">
        <v>220</v>
      </c>
      <c r="C85" t="s">
        <v>221</v>
      </c>
      <c r="D85" t="s">
        <v>10</v>
      </c>
    </row>
    <row r="86" spans="1:4" x14ac:dyDescent="0.35">
      <c r="A86" t="s">
        <v>222</v>
      </c>
      <c r="B86" t="s">
        <v>223</v>
      </c>
      <c r="C86" t="s">
        <v>224</v>
      </c>
      <c r="D86" t="s">
        <v>10</v>
      </c>
    </row>
    <row r="87" spans="1:4" x14ac:dyDescent="0.35">
      <c r="A87" t="s">
        <v>225</v>
      </c>
      <c r="B87" t="s">
        <v>226</v>
      </c>
      <c r="C87" t="s">
        <v>227</v>
      </c>
      <c r="D87" t="s">
        <v>10</v>
      </c>
    </row>
    <row r="88" spans="1:4" x14ac:dyDescent="0.35">
      <c r="A88" t="s">
        <v>228</v>
      </c>
      <c r="B88" t="s">
        <v>229</v>
      </c>
      <c r="C88" t="s">
        <v>230</v>
      </c>
      <c r="D88" t="s">
        <v>10</v>
      </c>
    </row>
    <row r="89" spans="1:4" x14ac:dyDescent="0.35">
      <c r="A89" t="s">
        <v>231</v>
      </c>
      <c r="B89" t="s">
        <v>232</v>
      </c>
      <c r="C89" t="s">
        <v>233</v>
      </c>
      <c r="D89" t="s">
        <v>10</v>
      </c>
    </row>
    <row r="90" spans="1:4" x14ac:dyDescent="0.35">
      <c r="A90" t="s">
        <v>234</v>
      </c>
      <c r="B90" t="s">
        <v>235</v>
      </c>
      <c r="C90" t="s">
        <v>236</v>
      </c>
      <c r="D90" t="s">
        <v>10</v>
      </c>
    </row>
    <row r="91" spans="1:4" x14ac:dyDescent="0.35">
      <c r="A91" t="s">
        <v>237</v>
      </c>
      <c r="B91" t="s">
        <v>238</v>
      </c>
      <c r="C91" t="s">
        <v>239</v>
      </c>
      <c r="D91" t="s">
        <v>10</v>
      </c>
    </row>
    <row r="92" spans="1:4" x14ac:dyDescent="0.35">
      <c r="A92" t="s">
        <v>240</v>
      </c>
      <c r="B92" t="s">
        <v>241</v>
      </c>
      <c r="C92" t="s">
        <v>242</v>
      </c>
      <c r="D92" t="s">
        <v>10</v>
      </c>
    </row>
    <row r="93" spans="1:4" x14ac:dyDescent="0.35">
      <c r="A93" t="s">
        <v>243</v>
      </c>
      <c r="B93" t="s">
        <v>244</v>
      </c>
      <c r="C93" t="s">
        <v>245</v>
      </c>
      <c r="D93" t="s">
        <v>10</v>
      </c>
    </row>
    <row r="94" spans="1:4" x14ac:dyDescent="0.35">
      <c r="A94" t="s">
        <v>246</v>
      </c>
      <c r="B94" t="s">
        <v>247</v>
      </c>
      <c r="C94" t="s">
        <v>248</v>
      </c>
      <c r="D94" t="s">
        <v>10</v>
      </c>
    </row>
    <row r="95" spans="1:4" x14ac:dyDescent="0.35">
      <c r="A95" t="s">
        <v>249</v>
      </c>
      <c r="B95" t="s">
        <v>250</v>
      </c>
      <c r="C95" t="s">
        <v>251</v>
      </c>
      <c r="D95" t="s">
        <v>10</v>
      </c>
    </row>
    <row r="96" spans="1:4" x14ac:dyDescent="0.35">
      <c r="A96" t="s">
        <v>252</v>
      </c>
      <c r="B96" t="s">
        <v>253</v>
      </c>
      <c r="C96" t="s">
        <v>254</v>
      </c>
      <c r="D96" t="s">
        <v>10</v>
      </c>
    </row>
    <row r="97" spans="1:4" x14ac:dyDescent="0.35">
      <c r="A97" t="s">
        <v>255</v>
      </c>
      <c r="B97" t="s">
        <v>256</v>
      </c>
      <c r="C97" t="s">
        <v>257</v>
      </c>
      <c r="D97" t="s">
        <v>10</v>
      </c>
    </row>
    <row r="98" spans="1:4" x14ac:dyDescent="0.35">
      <c r="A98" t="s">
        <v>258</v>
      </c>
      <c r="B98" t="s">
        <v>259</v>
      </c>
      <c r="C98" t="s">
        <v>260</v>
      </c>
      <c r="D98" t="s">
        <v>10</v>
      </c>
    </row>
    <row r="99" spans="1:4" x14ac:dyDescent="0.35">
      <c r="A99" t="s">
        <v>261</v>
      </c>
      <c r="B99" t="s">
        <v>262</v>
      </c>
      <c r="C99" t="s">
        <v>263</v>
      </c>
      <c r="D99" t="s">
        <v>10</v>
      </c>
    </row>
    <row r="100" spans="1:4" x14ac:dyDescent="0.35">
      <c r="A100" t="s">
        <v>264</v>
      </c>
      <c r="B100" t="s">
        <v>265</v>
      </c>
      <c r="C100" t="s">
        <v>266</v>
      </c>
      <c r="D100" t="s">
        <v>10</v>
      </c>
    </row>
    <row r="101" spans="1:4" x14ac:dyDescent="0.35">
      <c r="A101" t="s">
        <v>267</v>
      </c>
      <c r="B101" t="s">
        <v>268</v>
      </c>
      <c r="C101" t="s">
        <v>269</v>
      </c>
      <c r="D101" t="s">
        <v>10</v>
      </c>
    </row>
    <row r="102" spans="1:4" x14ac:dyDescent="0.35">
      <c r="A102" t="s">
        <v>270</v>
      </c>
      <c r="B102" t="s">
        <v>271</v>
      </c>
      <c r="C102" t="s">
        <v>269</v>
      </c>
      <c r="D102" t="s">
        <v>10</v>
      </c>
    </row>
    <row r="103" spans="1:4" x14ac:dyDescent="0.35">
      <c r="A103" t="s">
        <v>272</v>
      </c>
      <c r="B103" t="s">
        <v>273</v>
      </c>
      <c r="C103" t="s">
        <v>274</v>
      </c>
      <c r="D103" t="s">
        <v>10</v>
      </c>
    </row>
    <row r="104" spans="1:4" x14ac:dyDescent="0.35">
      <c r="A104" t="s">
        <v>275</v>
      </c>
      <c r="B104" t="s">
        <v>276</v>
      </c>
      <c r="C104" t="s">
        <v>277</v>
      </c>
      <c r="D104" t="s">
        <v>10</v>
      </c>
    </row>
    <row r="105" spans="1:4" x14ac:dyDescent="0.35">
      <c r="A105" t="s">
        <v>278</v>
      </c>
      <c r="B105" t="s">
        <v>279</v>
      </c>
      <c r="C105" t="s">
        <v>280</v>
      </c>
      <c r="D105" t="s">
        <v>10</v>
      </c>
    </row>
    <row r="106" spans="1:4" x14ac:dyDescent="0.35">
      <c r="A106" t="s">
        <v>281</v>
      </c>
      <c r="B106" t="s">
        <v>282</v>
      </c>
      <c r="C106" t="s">
        <v>283</v>
      </c>
      <c r="D106" t="s">
        <v>10</v>
      </c>
    </row>
    <row r="107" spans="1:4" x14ac:dyDescent="0.35">
      <c r="A107" t="s">
        <v>284</v>
      </c>
      <c r="B107" t="s">
        <v>285</v>
      </c>
      <c r="C107" t="s">
        <v>260</v>
      </c>
      <c r="D107" t="s">
        <v>10</v>
      </c>
    </row>
    <row r="108" spans="1:4" x14ac:dyDescent="0.35">
      <c r="A108" t="s">
        <v>286</v>
      </c>
      <c r="B108" t="s">
        <v>287</v>
      </c>
      <c r="C108" t="s">
        <v>182</v>
      </c>
      <c r="D108" t="s">
        <v>10</v>
      </c>
    </row>
    <row r="109" spans="1:4" x14ac:dyDescent="0.35">
      <c r="A109" t="s">
        <v>288</v>
      </c>
      <c r="B109" t="s">
        <v>289</v>
      </c>
      <c r="C109" t="s">
        <v>290</v>
      </c>
      <c r="D109" t="s">
        <v>10</v>
      </c>
    </row>
    <row r="110" spans="1:4" x14ac:dyDescent="0.35">
      <c r="A110" t="s">
        <v>291</v>
      </c>
      <c r="B110" t="s">
        <v>292</v>
      </c>
      <c r="C110" t="s">
        <v>293</v>
      </c>
      <c r="D110" t="s">
        <v>10</v>
      </c>
    </row>
    <row r="111" spans="1:4" x14ac:dyDescent="0.35">
      <c r="A111" t="s">
        <v>294</v>
      </c>
      <c r="B111" t="s">
        <v>295</v>
      </c>
      <c r="C111" t="s">
        <v>293</v>
      </c>
      <c r="D111" t="s">
        <v>10</v>
      </c>
    </row>
    <row r="112" spans="1:4" x14ac:dyDescent="0.35">
      <c r="A112" t="s">
        <v>296</v>
      </c>
      <c r="B112" t="s">
        <v>297</v>
      </c>
      <c r="C112" t="s">
        <v>298</v>
      </c>
      <c r="D112" t="s">
        <v>10</v>
      </c>
    </row>
    <row r="113" spans="1:4" x14ac:dyDescent="0.35">
      <c r="A113" t="s">
        <v>299</v>
      </c>
      <c r="B113" t="s">
        <v>300</v>
      </c>
      <c r="C113" t="s">
        <v>301</v>
      </c>
      <c r="D113" t="s">
        <v>10</v>
      </c>
    </row>
    <row r="114" spans="1:4" x14ac:dyDescent="0.35">
      <c r="A114" t="s">
        <v>302</v>
      </c>
      <c r="B114" t="s">
        <v>303</v>
      </c>
      <c r="C114" t="s">
        <v>304</v>
      </c>
      <c r="D114" t="s">
        <v>10</v>
      </c>
    </row>
    <row r="115" spans="1:4" x14ac:dyDescent="0.35">
      <c r="A115" t="s">
        <v>305</v>
      </c>
      <c r="B115" t="s">
        <v>306</v>
      </c>
      <c r="C115" t="s">
        <v>307</v>
      </c>
      <c r="D115" t="s">
        <v>10</v>
      </c>
    </row>
    <row r="116" spans="1:4" x14ac:dyDescent="0.35">
      <c r="A116" t="s">
        <v>308</v>
      </c>
      <c r="B116" t="s">
        <v>309</v>
      </c>
      <c r="C116" t="s">
        <v>310</v>
      </c>
      <c r="D116" t="s">
        <v>10</v>
      </c>
    </row>
    <row r="117" spans="1:4" x14ac:dyDescent="0.35">
      <c r="A117" t="s">
        <v>311</v>
      </c>
      <c r="B117" t="s">
        <v>312</v>
      </c>
      <c r="C117" t="s">
        <v>269</v>
      </c>
      <c r="D117" t="s">
        <v>10</v>
      </c>
    </row>
    <row r="118" spans="1:4" x14ac:dyDescent="0.35">
      <c r="A118" t="s">
        <v>313</v>
      </c>
      <c r="B118" t="s">
        <v>314</v>
      </c>
      <c r="C118" t="s">
        <v>315</v>
      </c>
      <c r="D118" t="s">
        <v>10</v>
      </c>
    </row>
    <row r="119" spans="1:4" x14ac:dyDescent="0.35">
      <c r="A119" t="s">
        <v>316</v>
      </c>
      <c r="B119" t="s">
        <v>317</v>
      </c>
      <c r="C119" t="s">
        <v>318</v>
      </c>
      <c r="D119" t="s">
        <v>10</v>
      </c>
    </row>
    <row r="120" spans="1:4" x14ac:dyDescent="0.35">
      <c r="A120" t="s">
        <v>319</v>
      </c>
      <c r="B120" t="s">
        <v>320</v>
      </c>
      <c r="C120" t="s">
        <v>321</v>
      </c>
      <c r="D120" t="s">
        <v>10</v>
      </c>
    </row>
    <row r="121" spans="1:4" x14ac:dyDescent="0.35">
      <c r="A121" t="s">
        <v>322</v>
      </c>
      <c r="B121" t="s">
        <v>323</v>
      </c>
      <c r="C121" t="s">
        <v>324</v>
      </c>
      <c r="D121" t="s">
        <v>10</v>
      </c>
    </row>
    <row r="122" spans="1:4" x14ac:dyDescent="0.35">
      <c r="A122" t="s">
        <v>325</v>
      </c>
      <c r="B122" t="s">
        <v>326</v>
      </c>
      <c r="C122" t="s">
        <v>327</v>
      </c>
      <c r="D122" t="s">
        <v>10</v>
      </c>
    </row>
    <row r="123" spans="1:4" x14ac:dyDescent="0.35">
      <c r="A123" t="s">
        <v>328</v>
      </c>
      <c r="B123" t="s">
        <v>329</v>
      </c>
      <c r="C123" t="s">
        <v>330</v>
      </c>
      <c r="D123" t="s">
        <v>10</v>
      </c>
    </row>
    <row r="124" spans="1:4" x14ac:dyDescent="0.35">
      <c r="A124" t="s">
        <v>331</v>
      </c>
      <c r="B124" t="s">
        <v>332</v>
      </c>
      <c r="C124" t="s">
        <v>333</v>
      </c>
      <c r="D124" t="s">
        <v>10</v>
      </c>
    </row>
    <row r="125" spans="1:4" x14ac:dyDescent="0.35">
      <c r="A125" t="s">
        <v>334</v>
      </c>
      <c r="B125" t="s">
        <v>335</v>
      </c>
      <c r="C125" t="s">
        <v>171</v>
      </c>
      <c r="D125" t="s">
        <v>10</v>
      </c>
    </row>
    <row r="126" spans="1:4" x14ac:dyDescent="0.35">
      <c r="A126" t="s">
        <v>336</v>
      </c>
      <c r="B126" t="s">
        <v>337</v>
      </c>
      <c r="C126" t="s">
        <v>157</v>
      </c>
      <c r="D126" t="s">
        <v>10</v>
      </c>
    </row>
    <row r="127" spans="1:4" x14ac:dyDescent="0.35">
      <c r="A127" t="s">
        <v>338</v>
      </c>
      <c r="B127" t="s">
        <v>339</v>
      </c>
      <c r="C127" t="s">
        <v>340</v>
      </c>
      <c r="D127" t="s">
        <v>10</v>
      </c>
    </row>
    <row r="128" spans="1:4" x14ac:dyDescent="0.35">
      <c r="A128" t="s">
        <v>341</v>
      </c>
      <c r="B128" t="s">
        <v>342</v>
      </c>
      <c r="C128" t="s">
        <v>343</v>
      </c>
      <c r="D128" t="s">
        <v>10</v>
      </c>
    </row>
    <row r="129" spans="1:4" x14ac:dyDescent="0.35">
      <c r="A129" t="s">
        <v>344</v>
      </c>
      <c r="B129" t="s">
        <v>345</v>
      </c>
      <c r="C129" t="s">
        <v>346</v>
      </c>
      <c r="D129" t="s">
        <v>10</v>
      </c>
    </row>
    <row r="130" spans="1:4" x14ac:dyDescent="0.35">
      <c r="A130" t="s">
        <v>347</v>
      </c>
      <c r="B130" t="s">
        <v>348</v>
      </c>
      <c r="C130" t="s">
        <v>349</v>
      </c>
      <c r="D130" t="s">
        <v>10</v>
      </c>
    </row>
    <row r="131" spans="1:4" x14ac:dyDescent="0.35">
      <c r="A131" t="s">
        <v>350</v>
      </c>
      <c r="B131" t="s">
        <v>351</v>
      </c>
      <c r="C131" t="s">
        <v>352</v>
      </c>
      <c r="D131" t="s">
        <v>10</v>
      </c>
    </row>
    <row r="132" spans="1:4" x14ac:dyDescent="0.35">
      <c r="A132" t="s">
        <v>353</v>
      </c>
      <c r="B132" t="s">
        <v>354</v>
      </c>
      <c r="C132" t="s">
        <v>355</v>
      </c>
      <c r="D132" t="s">
        <v>10</v>
      </c>
    </row>
    <row r="133" spans="1:4" x14ac:dyDescent="0.35">
      <c r="A133" t="s">
        <v>356</v>
      </c>
      <c r="B133" t="s">
        <v>357</v>
      </c>
      <c r="C133" t="s">
        <v>358</v>
      </c>
      <c r="D133" t="s">
        <v>10</v>
      </c>
    </row>
    <row r="134" spans="1:4" x14ac:dyDescent="0.35">
      <c r="A134" t="s">
        <v>359</v>
      </c>
      <c r="B134" t="s">
        <v>360</v>
      </c>
      <c r="C134" t="s">
        <v>361</v>
      </c>
      <c r="D134" t="s">
        <v>10</v>
      </c>
    </row>
    <row r="135" spans="1:4" x14ac:dyDescent="0.35">
      <c r="A135" t="s">
        <v>362</v>
      </c>
      <c r="B135" t="s">
        <v>363</v>
      </c>
      <c r="C135" t="s">
        <v>304</v>
      </c>
      <c r="D135" t="s">
        <v>10</v>
      </c>
    </row>
    <row r="136" spans="1:4" x14ac:dyDescent="0.35">
      <c r="A136" t="s">
        <v>364</v>
      </c>
      <c r="B136" t="s">
        <v>365</v>
      </c>
      <c r="C136" t="s">
        <v>366</v>
      </c>
      <c r="D136" t="s">
        <v>10</v>
      </c>
    </row>
    <row r="137" spans="1:4" x14ac:dyDescent="0.35">
      <c r="A137" t="s">
        <v>367</v>
      </c>
      <c r="B137" t="s">
        <v>368</v>
      </c>
      <c r="C137" t="s">
        <v>369</v>
      </c>
      <c r="D137" t="s">
        <v>10</v>
      </c>
    </row>
    <row r="138" spans="1:4" x14ac:dyDescent="0.35">
      <c r="A138" t="s">
        <v>370</v>
      </c>
      <c r="B138" t="s">
        <v>371</v>
      </c>
      <c r="C138" t="s">
        <v>372</v>
      </c>
      <c r="D138" t="s">
        <v>10</v>
      </c>
    </row>
    <row r="139" spans="1:4" x14ac:dyDescent="0.35">
      <c r="A139" t="s">
        <v>373</v>
      </c>
      <c r="B139" t="s">
        <v>374</v>
      </c>
      <c r="C139" t="s">
        <v>375</v>
      </c>
      <c r="D139" t="s">
        <v>10</v>
      </c>
    </row>
    <row r="140" spans="1:4" x14ac:dyDescent="0.35">
      <c r="A140" t="s">
        <v>376</v>
      </c>
      <c r="B140" t="s">
        <v>377</v>
      </c>
      <c r="C140" t="s">
        <v>378</v>
      </c>
      <c r="D140" t="s">
        <v>10</v>
      </c>
    </row>
    <row r="141" spans="1:4" x14ac:dyDescent="0.35">
      <c r="A141" t="s">
        <v>379</v>
      </c>
      <c r="B141" t="s">
        <v>380</v>
      </c>
      <c r="C141" t="s">
        <v>381</v>
      </c>
      <c r="D141" t="s">
        <v>10</v>
      </c>
    </row>
    <row r="142" spans="1:4" x14ac:dyDescent="0.35">
      <c r="A142" t="s">
        <v>382</v>
      </c>
      <c r="B142" t="s">
        <v>383</v>
      </c>
      <c r="C142" t="s">
        <v>384</v>
      </c>
      <c r="D142" t="s">
        <v>10</v>
      </c>
    </row>
    <row r="143" spans="1:4" x14ac:dyDescent="0.35">
      <c r="A143" t="s">
        <v>385</v>
      </c>
      <c r="B143" t="s">
        <v>386</v>
      </c>
      <c r="C143" t="s">
        <v>387</v>
      </c>
      <c r="D143" t="s">
        <v>10</v>
      </c>
    </row>
    <row r="144" spans="1:4" x14ac:dyDescent="0.35">
      <c r="A144" t="s">
        <v>388</v>
      </c>
      <c r="B144" t="s">
        <v>389</v>
      </c>
      <c r="C144" t="s">
        <v>390</v>
      </c>
      <c r="D144" t="s">
        <v>10</v>
      </c>
    </row>
    <row r="145" spans="1:4" x14ac:dyDescent="0.35">
      <c r="A145" t="s">
        <v>391</v>
      </c>
      <c r="B145" t="s">
        <v>392</v>
      </c>
      <c r="C145" t="s">
        <v>393</v>
      </c>
      <c r="D145" t="s">
        <v>10</v>
      </c>
    </row>
    <row r="146" spans="1:4" x14ac:dyDescent="0.35">
      <c r="A146" t="s">
        <v>394</v>
      </c>
      <c r="B146" t="s">
        <v>395</v>
      </c>
      <c r="C146" t="s">
        <v>396</v>
      </c>
      <c r="D146" t="s">
        <v>10</v>
      </c>
    </row>
    <row r="147" spans="1:4" x14ac:dyDescent="0.35">
      <c r="A147" t="s">
        <v>397</v>
      </c>
      <c r="B147" t="s">
        <v>398</v>
      </c>
      <c r="C147" t="s">
        <v>399</v>
      </c>
      <c r="D147" t="s">
        <v>10</v>
      </c>
    </row>
    <row r="148" spans="1:4" x14ac:dyDescent="0.35">
      <c r="A148" t="s">
        <v>400</v>
      </c>
      <c r="B148" t="s">
        <v>401</v>
      </c>
      <c r="C148" t="s">
        <v>402</v>
      </c>
      <c r="D148" t="s">
        <v>10</v>
      </c>
    </row>
    <row r="149" spans="1:4" x14ac:dyDescent="0.35">
      <c r="A149" t="s">
        <v>403</v>
      </c>
      <c r="B149" t="s">
        <v>404</v>
      </c>
      <c r="C149" t="s">
        <v>405</v>
      </c>
      <c r="D149" t="s">
        <v>10</v>
      </c>
    </row>
    <row r="150" spans="1:4" x14ac:dyDescent="0.35">
      <c r="A150" t="s">
        <v>406</v>
      </c>
      <c r="B150" t="s">
        <v>407</v>
      </c>
      <c r="C150" t="s">
        <v>405</v>
      </c>
      <c r="D150" t="s">
        <v>10</v>
      </c>
    </row>
    <row r="151" spans="1:4" x14ac:dyDescent="0.35">
      <c r="A151" t="s">
        <v>408</v>
      </c>
      <c r="B151" t="s">
        <v>409</v>
      </c>
      <c r="C151" t="s">
        <v>410</v>
      </c>
      <c r="D151" t="s">
        <v>10</v>
      </c>
    </row>
    <row r="152" spans="1:4" x14ac:dyDescent="0.35">
      <c r="A152" t="s">
        <v>411</v>
      </c>
      <c r="B152" t="s">
        <v>412</v>
      </c>
      <c r="C152" t="s">
        <v>405</v>
      </c>
      <c r="D152" t="s">
        <v>10</v>
      </c>
    </row>
    <row r="153" spans="1:4" x14ac:dyDescent="0.35">
      <c r="A153" t="s">
        <v>413</v>
      </c>
      <c r="B153" t="s">
        <v>414</v>
      </c>
      <c r="C153" t="s">
        <v>206</v>
      </c>
      <c r="D153" t="s">
        <v>10</v>
      </c>
    </row>
    <row r="154" spans="1:4" x14ac:dyDescent="0.35">
      <c r="A154" t="s">
        <v>415</v>
      </c>
      <c r="B154" t="s">
        <v>416</v>
      </c>
      <c r="C154" t="s">
        <v>417</v>
      </c>
      <c r="D154" t="s">
        <v>10</v>
      </c>
    </row>
    <row r="155" spans="1:4" x14ac:dyDescent="0.35">
      <c r="A155" t="s">
        <v>418</v>
      </c>
      <c r="B155" t="s">
        <v>419</v>
      </c>
      <c r="C155" t="s">
        <v>420</v>
      </c>
      <c r="D155" t="s">
        <v>10</v>
      </c>
    </row>
    <row r="156" spans="1:4" x14ac:dyDescent="0.35">
      <c r="A156" t="s">
        <v>421</v>
      </c>
      <c r="B156" t="s">
        <v>422</v>
      </c>
      <c r="C156" t="s">
        <v>423</v>
      </c>
      <c r="D156" t="s">
        <v>10</v>
      </c>
    </row>
    <row r="157" spans="1:4" x14ac:dyDescent="0.35">
      <c r="A157" t="s">
        <v>424</v>
      </c>
      <c r="B157" t="s">
        <v>425</v>
      </c>
      <c r="C157" t="s">
        <v>426</v>
      </c>
      <c r="D157" t="s">
        <v>10</v>
      </c>
    </row>
    <row r="158" spans="1:4" x14ac:dyDescent="0.35">
      <c r="A158" t="s">
        <v>427</v>
      </c>
      <c r="B158" t="s">
        <v>428</v>
      </c>
      <c r="C158" t="s">
        <v>151</v>
      </c>
      <c r="D158" t="s">
        <v>10</v>
      </c>
    </row>
    <row r="159" spans="1:4" x14ac:dyDescent="0.35">
      <c r="A159" t="s">
        <v>429</v>
      </c>
      <c r="B159" t="s">
        <v>430</v>
      </c>
      <c r="C159" t="s">
        <v>151</v>
      </c>
      <c r="D159" t="s">
        <v>10</v>
      </c>
    </row>
    <row r="160" spans="1:4" x14ac:dyDescent="0.35">
      <c r="A160" t="s">
        <v>431</v>
      </c>
      <c r="B160" t="s">
        <v>432</v>
      </c>
      <c r="C160" t="s">
        <v>433</v>
      </c>
      <c r="D160" t="s">
        <v>10</v>
      </c>
    </row>
    <row r="161" spans="1:4" x14ac:dyDescent="0.35">
      <c r="A161" t="s">
        <v>434</v>
      </c>
      <c r="B161" t="s">
        <v>435</v>
      </c>
      <c r="C161" t="s">
        <v>405</v>
      </c>
      <c r="D161" t="s">
        <v>10</v>
      </c>
    </row>
    <row r="162" spans="1:4" x14ac:dyDescent="0.35">
      <c r="A162" t="s">
        <v>436</v>
      </c>
      <c r="B162" t="s">
        <v>437</v>
      </c>
      <c r="C162" t="s">
        <v>438</v>
      </c>
      <c r="D162" t="s">
        <v>10</v>
      </c>
    </row>
    <row r="163" spans="1:4" x14ac:dyDescent="0.35">
      <c r="A163" t="s">
        <v>439</v>
      </c>
      <c r="B163" t="s">
        <v>440</v>
      </c>
      <c r="C163" t="s">
        <v>441</v>
      </c>
      <c r="D163" t="s">
        <v>10</v>
      </c>
    </row>
    <row r="164" spans="1:4" x14ac:dyDescent="0.35">
      <c r="A164" t="s">
        <v>442</v>
      </c>
      <c r="B164" t="s">
        <v>443</v>
      </c>
      <c r="C164" t="s">
        <v>444</v>
      </c>
      <c r="D164" t="s">
        <v>10</v>
      </c>
    </row>
    <row r="165" spans="1:4" x14ac:dyDescent="0.35">
      <c r="A165" t="s">
        <v>445</v>
      </c>
      <c r="B165" t="s">
        <v>446</v>
      </c>
      <c r="C165" t="s">
        <v>447</v>
      </c>
      <c r="D165" t="s">
        <v>10</v>
      </c>
    </row>
    <row r="166" spans="1:4" x14ac:dyDescent="0.35">
      <c r="A166" t="s">
        <v>448</v>
      </c>
      <c r="B166" t="s">
        <v>449</v>
      </c>
      <c r="C166" t="s">
        <v>450</v>
      </c>
      <c r="D166" t="s">
        <v>10</v>
      </c>
    </row>
    <row r="167" spans="1:4" x14ac:dyDescent="0.35">
      <c r="A167" t="s">
        <v>451</v>
      </c>
      <c r="B167" t="s">
        <v>452</v>
      </c>
      <c r="C167" t="s">
        <v>453</v>
      </c>
      <c r="D167" t="s">
        <v>10</v>
      </c>
    </row>
    <row r="168" spans="1:4" x14ac:dyDescent="0.35">
      <c r="A168" t="s">
        <v>454</v>
      </c>
      <c r="B168" t="s">
        <v>455</v>
      </c>
      <c r="C168" t="s">
        <v>456</v>
      </c>
      <c r="D168" t="s">
        <v>10</v>
      </c>
    </row>
    <row r="169" spans="1:4" x14ac:dyDescent="0.35">
      <c r="A169" t="s">
        <v>457</v>
      </c>
      <c r="B169" t="s">
        <v>458</v>
      </c>
      <c r="C169" t="s">
        <v>459</v>
      </c>
      <c r="D169" t="s">
        <v>10</v>
      </c>
    </row>
    <row r="170" spans="1:4" x14ac:dyDescent="0.35">
      <c r="A170" t="s">
        <v>460</v>
      </c>
      <c r="B170" t="s">
        <v>461</v>
      </c>
      <c r="C170" t="s">
        <v>462</v>
      </c>
      <c r="D170" t="s">
        <v>10</v>
      </c>
    </row>
    <row r="171" spans="1:4" x14ac:dyDescent="0.35">
      <c r="A171" t="s">
        <v>463</v>
      </c>
      <c r="B171" t="s">
        <v>464</v>
      </c>
      <c r="C171" t="s">
        <v>456</v>
      </c>
      <c r="D171" t="s">
        <v>10</v>
      </c>
    </row>
    <row r="172" spans="1:4" x14ac:dyDescent="0.35">
      <c r="A172" t="s">
        <v>465</v>
      </c>
      <c r="B172" t="s">
        <v>466</v>
      </c>
      <c r="C172" t="s">
        <v>467</v>
      </c>
      <c r="D172" t="s">
        <v>10</v>
      </c>
    </row>
    <row r="173" spans="1:4" x14ac:dyDescent="0.35">
      <c r="A173" t="s">
        <v>468</v>
      </c>
      <c r="B173" t="s">
        <v>469</v>
      </c>
      <c r="C173" t="s">
        <v>470</v>
      </c>
      <c r="D173" t="s">
        <v>10</v>
      </c>
    </row>
    <row r="174" spans="1:4" x14ac:dyDescent="0.35">
      <c r="A174" t="s">
        <v>471</v>
      </c>
      <c r="B174" t="s">
        <v>472</v>
      </c>
      <c r="C174" t="s">
        <v>239</v>
      </c>
      <c r="D174" t="s">
        <v>10</v>
      </c>
    </row>
    <row r="175" spans="1:4" x14ac:dyDescent="0.35">
      <c r="A175" t="s">
        <v>473</v>
      </c>
      <c r="B175" t="s">
        <v>474</v>
      </c>
      <c r="C175" t="s">
        <v>475</v>
      </c>
      <c r="D175" t="s">
        <v>10</v>
      </c>
    </row>
    <row r="176" spans="1:4" x14ac:dyDescent="0.35">
      <c r="A176" t="s">
        <v>476</v>
      </c>
      <c r="B176" t="s">
        <v>477</v>
      </c>
      <c r="C176" t="s">
        <v>478</v>
      </c>
      <c r="D176" t="s">
        <v>10</v>
      </c>
    </row>
    <row r="177" spans="1:4" x14ac:dyDescent="0.35">
      <c r="A177" t="s">
        <v>479</v>
      </c>
      <c r="B177" t="s">
        <v>480</v>
      </c>
      <c r="C177" t="s">
        <v>481</v>
      </c>
      <c r="D177" t="s">
        <v>10</v>
      </c>
    </row>
    <row r="178" spans="1:4" x14ac:dyDescent="0.35">
      <c r="A178" t="s">
        <v>482</v>
      </c>
      <c r="B178" t="s">
        <v>483</v>
      </c>
      <c r="C178" t="s">
        <v>484</v>
      </c>
      <c r="D178" t="s">
        <v>10</v>
      </c>
    </row>
    <row r="179" spans="1:4" x14ac:dyDescent="0.35">
      <c r="A179" t="s">
        <v>485</v>
      </c>
      <c r="B179" t="s">
        <v>486</v>
      </c>
      <c r="C179" t="s">
        <v>487</v>
      </c>
      <c r="D179" t="s">
        <v>10</v>
      </c>
    </row>
    <row r="180" spans="1:4" x14ac:dyDescent="0.35">
      <c r="A180" t="s">
        <v>488</v>
      </c>
      <c r="B180" t="s">
        <v>489</v>
      </c>
      <c r="C180" t="s">
        <v>490</v>
      </c>
      <c r="D180" t="s">
        <v>10</v>
      </c>
    </row>
    <row r="181" spans="1:4" x14ac:dyDescent="0.35">
      <c r="A181" t="s">
        <v>491</v>
      </c>
      <c r="B181" t="s">
        <v>492</v>
      </c>
      <c r="C181" t="s">
        <v>493</v>
      </c>
      <c r="D181" t="s">
        <v>10</v>
      </c>
    </row>
    <row r="182" spans="1:4" x14ac:dyDescent="0.35">
      <c r="A182" t="s">
        <v>494</v>
      </c>
      <c r="B182" t="s">
        <v>495</v>
      </c>
      <c r="C182" t="s">
        <v>496</v>
      </c>
      <c r="D182" t="s">
        <v>10</v>
      </c>
    </row>
    <row r="183" spans="1:4" x14ac:dyDescent="0.35">
      <c r="A183" t="s">
        <v>497</v>
      </c>
      <c r="B183" t="s">
        <v>498</v>
      </c>
      <c r="C183" t="s">
        <v>499</v>
      </c>
      <c r="D183" t="s">
        <v>10</v>
      </c>
    </row>
    <row r="184" spans="1:4" x14ac:dyDescent="0.35">
      <c r="A184" t="s">
        <v>500</v>
      </c>
      <c r="B184" t="s">
        <v>501</v>
      </c>
      <c r="C184" t="s">
        <v>17</v>
      </c>
      <c r="D184" t="s">
        <v>10</v>
      </c>
    </row>
    <row r="185" spans="1:4" x14ac:dyDescent="0.35">
      <c r="A185" t="s">
        <v>502</v>
      </c>
      <c r="B185" t="s">
        <v>503</v>
      </c>
      <c r="C185" t="s">
        <v>504</v>
      </c>
      <c r="D185" t="s">
        <v>10</v>
      </c>
    </row>
    <row r="186" spans="1:4" x14ac:dyDescent="0.35">
      <c r="A186" t="s">
        <v>505</v>
      </c>
      <c r="B186" t="s">
        <v>506</v>
      </c>
      <c r="C186" t="s">
        <v>507</v>
      </c>
      <c r="D186" t="s">
        <v>10</v>
      </c>
    </row>
    <row r="187" spans="1:4" x14ac:dyDescent="0.35">
      <c r="A187" t="s">
        <v>508</v>
      </c>
      <c r="B187" t="s">
        <v>509</v>
      </c>
      <c r="C187" t="s">
        <v>426</v>
      </c>
      <c r="D187" t="s">
        <v>10</v>
      </c>
    </row>
    <row r="188" spans="1:4" x14ac:dyDescent="0.35">
      <c r="A188" t="s">
        <v>510</v>
      </c>
      <c r="B188" t="s">
        <v>511</v>
      </c>
      <c r="C188" t="s">
        <v>393</v>
      </c>
      <c r="D188" t="s">
        <v>10</v>
      </c>
    </row>
    <row r="189" spans="1:4" x14ac:dyDescent="0.35">
      <c r="A189" t="s">
        <v>512</v>
      </c>
      <c r="B189" t="s">
        <v>513</v>
      </c>
      <c r="C189" t="s">
        <v>514</v>
      </c>
      <c r="D189" t="s">
        <v>10</v>
      </c>
    </row>
    <row r="190" spans="1:4" x14ac:dyDescent="0.35">
      <c r="A190" t="s">
        <v>515</v>
      </c>
      <c r="B190" t="s">
        <v>516</v>
      </c>
      <c r="C190" t="s">
        <v>517</v>
      </c>
      <c r="D190" t="s">
        <v>10</v>
      </c>
    </row>
    <row r="191" spans="1:4" x14ac:dyDescent="0.35">
      <c r="A191" t="s">
        <v>518</v>
      </c>
      <c r="B191" t="s">
        <v>519</v>
      </c>
      <c r="C191" t="s">
        <v>520</v>
      </c>
      <c r="D191" t="s">
        <v>10</v>
      </c>
    </row>
    <row r="192" spans="1:4" x14ac:dyDescent="0.35">
      <c r="A192" t="s">
        <v>521</v>
      </c>
      <c r="B192" t="s">
        <v>103</v>
      </c>
      <c r="C192" t="s">
        <v>522</v>
      </c>
      <c r="D192" t="s">
        <v>10</v>
      </c>
    </row>
    <row r="193" spans="1:4" x14ac:dyDescent="0.35">
      <c r="A193" t="s">
        <v>523</v>
      </c>
      <c r="B193" t="s">
        <v>524</v>
      </c>
      <c r="C193" t="s">
        <v>525</v>
      </c>
      <c r="D193" t="s">
        <v>10</v>
      </c>
    </row>
    <row r="194" spans="1:4" x14ac:dyDescent="0.35">
      <c r="A194" t="s">
        <v>526</v>
      </c>
      <c r="B194" t="s">
        <v>527</v>
      </c>
      <c r="C194" t="s">
        <v>528</v>
      </c>
      <c r="D194" t="s">
        <v>10</v>
      </c>
    </row>
    <row r="195" spans="1:4" x14ac:dyDescent="0.35">
      <c r="A195" t="s">
        <v>529</v>
      </c>
      <c r="B195" t="s">
        <v>530</v>
      </c>
      <c r="C195" t="s">
        <v>531</v>
      </c>
      <c r="D195" t="s">
        <v>10</v>
      </c>
    </row>
    <row r="196" spans="1:4" x14ac:dyDescent="0.35">
      <c r="A196" t="s">
        <v>532</v>
      </c>
      <c r="B196" t="s">
        <v>533</v>
      </c>
      <c r="C196" t="s">
        <v>534</v>
      </c>
      <c r="D196" t="s">
        <v>10</v>
      </c>
    </row>
    <row r="197" spans="1:4" x14ac:dyDescent="0.35">
      <c r="A197" t="s">
        <v>535</v>
      </c>
      <c r="B197" t="s">
        <v>536</v>
      </c>
      <c r="C197" t="s">
        <v>537</v>
      </c>
      <c r="D197" t="s">
        <v>10</v>
      </c>
    </row>
    <row r="198" spans="1:4" x14ac:dyDescent="0.35">
      <c r="A198" t="s">
        <v>538</v>
      </c>
      <c r="B198" t="s">
        <v>539</v>
      </c>
      <c r="C198" t="s">
        <v>540</v>
      </c>
      <c r="D198" t="s">
        <v>10</v>
      </c>
    </row>
    <row r="199" spans="1:4" x14ac:dyDescent="0.35">
      <c r="A199" t="s">
        <v>541</v>
      </c>
      <c r="B199" t="s">
        <v>542</v>
      </c>
      <c r="C199" t="s">
        <v>543</v>
      </c>
      <c r="D199" t="s">
        <v>10</v>
      </c>
    </row>
    <row r="200" spans="1:4" x14ac:dyDescent="0.35">
      <c r="A200" t="s">
        <v>544</v>
      </c>
      <c r="B200" t="s">
        <v>545</v>
      </c>
      <c r="C200" t="s">
        <v>546</v>
      </c>
      <c r="D200" t="s">
        <v>10</v>
      </c>
    </row>
    <row r="201" spans="1:4" x14ac:dyDescent="0.35">
      <c r="A201" t="s">
        <v>547</v>
      </c>
      <c r="B201" t="s">
        <v>548</v>
      </c>
      <c r="C201" t="s">
        <v>549</v>
      </c>
      <c r="D201" t="s">
        <v>10</v>
      </c>
    </row>
    <row r="202" spans="1:4" x14ac:dyDescent="0.35">
      <c r="A202" t="s">
        <v>550</v>
      </c>
      <c r="B202" t="s">
        <v>551</v>
      </c>
      <c r="C202" t="s">
        <v>552</v>
      </c>
      <c r="D202" t="s">
        <v>10</v>
      </c>
    </row>
    <row r="203" spans="1:4" x14ac:dyDescent="0.35">
      <c r="A203" t="s">
        <v>553</v>
      </c>
      <c r="B203" t="s">
        <v>554</v>
      </c>
      <c r="C203" t="s">
        <v>552</v>
      </c>
      <c r="D203" t="s">
        <v>10</v>
      </c>
    </row>
    <row r="204" spans="1:4" x14ac:dyDescent="0.35">
      <c r="A204" t="s">
        <v>555</v>
      </c>
      <c r="B204" t="s">
        <v>556</v>
      </c>
      <c r="C204" t="s">
        <v>557</v>
      </c>
      <c r="D204" t="s">
        <v>10</v>
      </c>
    </row>
    <row r="205" spans="1:4" x14ac:dyDescent="0.35">
      <c r="A205" t="s">
        <v>558</v>
      </c>
      <c r="B205" t="s">
        <v>559</v>
      </c>
      <c r="C205" t="s">
        <v>560</v>
      </c>
      <c r="D205" t="s">
        <v>10</v>
      </c>
    </row>
    <row r="206" spans="1:4" x14ac:dyDescent="0.35">
      <c r="A206" t="s">
        <v>561</v>
      </c>
      <c r="B206" t="s">
        <v>562</v>
      </c>
      <c r="C206" t="s">
        <v>557</v>
      </c>
      <c r="D206" t="s">
        <v>10</v>
      </c>
    </row>
    <row r="207" spans="1:4" x14ac:dyDescent="0.35">
      <c r="A207" t="s">
        <v>563</v>
      </c>
      <c r="B207" t="s">
        <v>564</v>
      </c>
      <c r="C207" t="s">
        <v>565</v>
      </c>
      <c r="D207" t="s">
        <v>10</v>
      </c>
    </row>
    <row r="208" spans="1:4" x14ac:dyDescent="0.35">
      <c r="A208" t="s">
        <v>566</v>
      </c>
      <c r="B208" t="s">
        <v>567</v>
      </c>
      <c r="C208" t="s">
        <v>568</v>
      </c>
      <c r="D208" t="s">
        <v>10</v>
      </c>
    </row>
    <row r="209" spans="1:4" x14ac:dyDescent="0.35">
      <c r="A209" t="s">
        <v>569</v>
      </c>
      <c r="B209" t="s">
        <v>570</v>
      </c>
      <c r="C209" t="s">
        <v>571</v>
      </c>
      <c r="D209" t="s">
        <v>10</v>
      </c>
    </row>
    <row r="210" spans="1:4" x14ac:dyDescent="0.35">
      <c r="A210" t="s">
        <v>572</v>
      </c>
      <c r="B210" t="s">
        <v>573</v>
      </c>
      <c r="C210" t="s">
        <v>574</v>
      </c>
      <c r="D210" t="s">
        <v>10</v>
      </c>
    </row>
    <row r="211" spans="1:4" x14ac:dyDescent="0.35">
      <c r="A211" t="s">
        <v>575</v>
      </c>
      <c r="B211" t="s">
        <v>576</v>
      </c>
      <c r="C211" t="s">
        <v>577</v>
      </c>
      <c r="D211" t="s">
        <v>10</v>
      </c>
    </row>
    <row r="212" spans="1:4" x14ac:dyDescent="0.35">
      <c r="A212" t="s">
        <v>578</v>
      </c>
      <c r="B212" t="s">
        <v>579</v>
      </c>
      <c r="C212" t="s">
        <v>580</v>
      </c>
      <c r="D212" t="s">
        <v>10</v>
      </c>
    </row>
    <row r="213" spans="1:4" x14ac:dyDescent="0.35">
      <c r="A213" t="s">
        <v>581</v>
      </c>
      <c r="B213" t="s">
        <v>582</v>
      </c>
      <c r="C213" t="s">
        <v>583</v>
      </c>
      <c r="D213" t="s">
        <v>10</v>
      </c>
    </row>
    <row r="214" spans="1:4" x14ac:dyDescent="0.35">
      <c r="A214" t="s">
        <v>584</v>
      </c>
      <c r="B214" t="s">
        <v>585</v>
      </c>
      <c r="C214" t="s">
        <v>546</v>
      </c>
      <c r="D214" t="s">
        <v>10</v>
      </c>
    </row>
    <row r="215" spans="1:4" x14ac:dyDescent="0.35">
      <c r="A215" t="s">
        <v>586</v>
      </c>
      <c r="B215" t="s">
        <v>587</v>
      </c>
      <c r="C215" t="s">
        <v>588</v>
      </c>
      <c r="D215" t="s">
        <v>10</v>
      </c>
    </row>
    <row r="216" spans="1:4" x14ac:dyDescent="0.35">
      <c r="A216" t="s">
        <v>589</v>
      </c>
      <c r="B216" t="s">
        <v>590</v>
      </c>
      <c r="C216" t="s">
        <v>591</v>
      </c>
      <c r="D216" t="s">
        <v>10</v>
      </c>
    </row>
    <row r="217" spans="1:4" x14ac:dyDescent="0.35">
      <c r="A217" t="s">
        <v>592</v>
      </c>
      <c r="B217" t="s">
        <v>593</v>
      </c>
      <c r="C217" t="s">
        <v>588</v>
      </c>
      <c r="D217" t="s">
        <v>10</v>
      </c>
    </row>
    <row r="218" spans="1:4" x14ac:dyDescent="0.35">
      <c r="A218" t="s">
        <v>594</v>
      </c>
      <c r="B218" t="s">
        <v>595</v>
      </c>
      <c r="C218" t="s">
        <v>546</v>
      </c>
      <c r="D218" t="s">
        <v>10</v>
      </c>
    </row>
    <row r="219" spans="1:4" x14ac:dyDescent="0.35">
      <c r="A219" t="s">
        <v>596</v>
      </c>
      <c r="B219" t="s">
        <v>597</v>
      </c>
      <c r="C219" t="s">
        <v>598</v>
      </c>
      <c r="D219" t="s">
        <v>10</v>
      </c>
    </row>
    <row r="220" spans="1:4" x14ac:dyDescent="0.35">
      <c r="A220" t="s">
        <v>599</v>
      </c>
      <c r="B220" t="s">
        <v>600</v>
      </c>
      <c r="C220" t="s">
        <v>601</v>
      </c>
      <c r="D220" t="s">
        <v>10</v>
      </c>
    </row>
    <row r="221" spans="1:4" x14ac:dyDescent="0.35">
      <c r="A221" t="s">
        <v>602</v>
      </c>
      <c r="B221" t="s">
        <v>603</v>
      </c>
      <c r="C221" t="s">
        <v>604</v>
      </c>
      <c r="D221" t="s">
        <v>10</v>
      </c>
    </row>
    <row r="222" spans="1:4" x14ac:dyDescent="0.35">
      <c r="A222" t="s">
        <v>605</v>
      </c>
      <c r="B222" t="s">
        <v>606</v>
      </c>
      <c r="C222" t="s">
        <v>607</v>
      </c>
      <c r="D222" t="s">
        <v>10</v>
      </c>
    </row>
    <row r="223" spans="1:4" x14ac:dyDescent="0.35">
      <c r="A223" t="s">
        <v>608</v>
      </c>
      <c r="B223" t="s">
        <v>609</v>
      </c>
      <c r="C223" t="s">
        <v>574</v>
      </c>
      <c r="D223" t="s">
        <v>10</v>
      </c>
    </row>
    <row r="224" spans="1:4" x14ac:dyDescent="0.35">
      <c r="A224" t="s">
        <v>610</v>
      </c>
      <c r="B224" t="s">
        <v>611</v>
      </c>
      <c r="C224" t="s">
        <v>534</v>
      </c>
      <c r="D224" t="s">
        <v>10</v>
      </c>
    </row>
    <row r="225" spans="1:4" x14ac:dyDescent="0.35">
      <c r="A225" t="s">
        <v>612</v>
      </c>
      <c r="B225" t="s">
        <v>613</v>
      </c>
      <c r="C225" t="s">
        <v>614</v>
      </c>
      <c r="D225" t="s">
        <v>10</v>
      </c>
    </row>
    <row r="226" spans="1:4" x14ac:dyDescent="0.35">
      <c r="A226" t="s">
        <v>615</v>
      </c>
      <c r="B226" t="s">
        <v>616</v>
      </c>
      <c r="C226" t="s">
        <v>617</v>
      </c>
      <c r="D226" t="s">
        <v>10</v>
      </c>
    </row>
    <row r="227" spans="1:4" x14ac:dyDescent="0.35">
      <c r="A227" t="s">
        <v>618</v>
      </c>
      <c r="B227" t="s">
        <v>619</v>
      </c>
      <c r="C227" t="s">
        <v>514</v>
      </c>
      <c r="D227" t="s">
        <v>10</v>
      </c>
    </row>
    <row r="228" spans="1:4" x14ac:dyDescent="0.35">
      <c r="A228" t="s">
        <v>620</v>
      </c>
      <c r="B228" t="s">
        <v>621</v>
      </c>
      <c r="C228" t="s">
        <v>622</v>
      </c>
      <c r="D228" t="s">
        <v>10</v>
      </c>
    </row>
    <row r="229" spans="1:4" x14ac:dyDescent="0.35">
      <c r="A229" t="s">
        <v>623</v>
      </c>
      <c r="B229" t="s">
        <v>624</v>
      </c>
      <c r="C229" t="s">
        <v>625</v>
      </c>
      <c r="D229" t="s">
        <v>10</v>
      </c>
    </row>
    <row r="230" spans="1:4" x14ac:dyDescent="0.35">
      <c r="A230" t="s">
        <v>626</v>
      </c>
      <c r="B230" t="s">
        <v>627</v>
      </c>
      <c r="C230" t="s">
        <v>628</v>
      </c>
      <c r="D230" t="s">
        <v>10</v>
      </c>
    </row>
    <row r="231" spans="1:4" x14ac:dyDescent="0.35">
      <c r="A231" t="s">
        <v>629</v>
      </c>
      <c r="B231" t="s">
        <v>630</v>
      </c>
      <c r="C231" t="s">
        <v>631</v>
      </c>
      <c r="D231" t="s">
        <v>10</v>
      </c>
    </row>
    <row r="232" spans="1:4" x14ac:dyDescent="0.35">
      <c r="A232" t="s">
        <v>632</v>
      </c>
      <c r="B232" t="s">
        <v>633</v>
      </c>
      <c r="C232" t="s">
        <v>634</v>
      </c>
      <c r="D232" t="s">
        <v>10</v>
      </c>
    </row>
    <row r="233" spans="1:4" x14ac:dyDescent="0.35">
      <c r="A233" t="s">
        <v>635</v>
      </c>
      <c r="B233" t="s">
        <v>636</v>
      </c>
      <c r="C233" t="s">
        <v>637</v>
      </c>
      <c r="D233" t="s">
        <v>10</v>
      </c>
    </row>
    <row r="234" spans="1:4" x14ac:dyDescent="0.35">
      <c r="A234" t="s">
        <v>638</v>
      </c>
      <c r="B234" t="s">
        <v>639</v>
      </c>
      <c r="C234" t="s">
        <v>525</v>
      </c>
      <c r="D234" t="s">
        <v>10</v>
      </c>
    </row>
    <row r="235" spans="1:4" x14ac:dyDescent="0.35">
      <c r="A235" t="s">
        <v>640</v>
      </c>
      <c r="B235" t="s">
        <v>641</v>
      </c>
      <c r="C235" t="s">
        <v>642</v>
      </c>
      <c r="D235" t="s">
        <v>10</v>
      </c>
    </row>
    <row r="236" spans="1:4" x14ac:dyDescent="0.35">
      <c r="A236" t="s">
        <v>643</v>
      </c>
      <c r="B236" t="s">
        <v>644</v>
      </c>
      <c r="C236" t="s">
        <v>645</v>
      </c>
      <c r="D236" t="s">
        <v>10</v>
      </c>
    </row>
    <row r="237" spans="1:4" x14ac:dyDescent="0.35">
      <c r="A237" t="s">
        <v>646</v>
      </c>
      <c r="B237" t="s">
        <v>647</v>
      </c>
      <c r="C237" t="s">
        <v>534</v>
      </c>
      <c r="D237" t="s">
        <v>10</v>
      </c>
    </row>
    <row r="238" spans="1:4" x14ac:dyDescent="0.35">
      <c r="A238" t="s">
        <v>648</v>
      </c>
      <c r="B238" t="s">
        <v>649</v>
      </c>
      <c r="C238" t="s">
        <v>650</v>
      </c>
      <c r="D238" t="s">
        <v>10</v>
      </c>
    </row>
    <row r="239" spans="1:4" x14ac:dyDescent="0.35">
      <c r="A239" t="s">
        <v>651</v>
      </c>
      <c r="B239" t="s">
        <v>652</v>
      </c>
      <c r="C239" t="s">
        <v>557</v>
      </c>
      <c r="D239" t="s">
        <v>10</v>
      </c>
    </row>
    <row r="240" spans="1:4" x14ac:dyDescent="0.35">
      <c r="A240" t="s">
        <v>653</v>
      </c>
      <c r="B240" t="s">
        <v>654</v>
      </c>
      <c r="C240" t="s">
        <v>645</v>
      </c>
      <c r="D240" t="s">
        <v>10</v>
      </c>
    </row>
    <row r="241" spans="1:4" x14ac:dyDescent="0.35">
      <c r="A241" t="s">
        <v>655</v>
      </c>
      <c r="B241" t="s">
        <v>656</v>
      </c>
      <c r="C241" t="s">
        <v>657</v>
      </c>
      <c r="D241" t="s">
        <v>10</v>
      </c>
    </row>
    <row r="242" spans="1:4" x14ac:dyDescent="0.35">
      <c r="A242" t="s">
        <v>658</v>
      </c>
      <c r="B242" t="s">
        <v>659</v>
      </c>
      <c r="C242" t="s">
        <v>546</v>
      </c>
      <c r="D242" t="s">
        <v>10</v>
      </c>
    </row>
    <row r="243" spans="1:4" x14ac:dyDescent="0.35">
      <c r="A243" t="s">
        <v>660</v>
      </c>
      <c r="B243" t="s">
        <v>661</v>
      </c>
      <c r="C243" t="s">
        <v>662</v>
      </c>
      <c r="D243" t="s">
        <v>10</v>
      </c>
    </row>
    <row r="244" spans="1:4" x14ac:dyDescent="0.35">
      <c r="A244" t="s">
        <v>663</v>
      </c>
      <c r="B244" t="s">
        <v>664</v>
      </c>
      <c r="C244" t="s">
        <v>546</v>
      </c>
      <c r="D244" t="s">
        <v>10</v>
      </c>
    </row>
    <row r="245" spans="1:4" x14ac:dyDescent="0.35">
      <c r="A245" t="s">
        <v>665</v>
      </c>
      <c r="B245" t="s">
        <v>666</v>
      </c>
      <c r="C245" t="s">
        <v>667</v>
      </c>
      <c r="D245" t="s">
        <v>10</v>
      </c>
    </row>
    <row r="246" spans="1:4" x14ac:dyDescent="0.35">
      <c r="A246" t="s">
        <v>668</v>
      </c>
      <c r="B246" t="s">
        <v>669</v>
      </c>
      <c r="C246" t="s">
        <v>667</v>
      </c>
      <c r="D246" t="s">
        <v>10</v>
      </c>
    </row>
    <row r="247" spans="1:4" x14ac:dyDescent="0.35">
      <c r="A247" t="s">
        <v>670</v>
      </c>
      <c r="B247" t="s">
        <v>671</v>
      </c>
      <c r="C247" t="s">
        <v>672</v>
      </c>
      <c r="D247" t="s">
        <v>10</v>
      </c>
    </row>
    <row r="248" spans="1:4" x14ac:dyDescent="0.35">
      <c r="A248" t="s">
        <v>673</v>
      </c>
      <c r="B248" t="s">
        <v>674</v>
      </c>
      <c r="C248" t="s">
        <v>675</v>
      </c>
      <c r="D248" t="s">
        <v>10</v>
      </c>
    </row>
    <row r="249" spans="1:4" x14ac:dyDescent="0.35">
      <c r="A249" t="s">
        <v>676</v>
      </c>
      <c r="B249" t="s">
        <v>677</v>
      </c>
      <c r="C249" t="s">
        <v>678</v>
      </c>
      <c r="D249" t="s">
        <v>10</v>
      </c>
    </row>
    <row r="250" spans="1:4" x14ac:dyDescent="0.35">
      <c r="A250" t="s">
        <v>679</v>
      </c>
      <c r="B250" t="s">
        <v>680</v>
      </c>
      <c r="C250" t="s">
        <v>681</v>
      </c>
      <c r="D250" t="s">
        <v>10</v>
      </c>
    </row>
    <row r="251" spans="1:4" x14ac:dyDescent="0.35">
      <c r="A251" t="s">
        <v>682</v>
      </c>
      <c r="B251" t="s">
        <v>683</v>
      </c>
      <c r="C251" t="s">
        <v>684</v>
      </c>
      <c r="D251" t="s">
        <v>10</v>
      </c>
    </row>
    <row r="252" spans="1:4" x14ac:dyDescent="0.35">
      <c r="A252" t="s">
        <v>685</v>
      </c>
      <c r="B252" t="s">
        <v>686</v>
      </c>
      <c r="C252" t="s">
        <v>687</v>
      </c>
      <c r="D252" t="s">
        <v>10</v>
      </c>
    </row>
    <row r="253" spans="1:4" x14ac:dyDescent="0.35">
      <c r="A253" t="s">
        <v>688</v>
      </c>
      <c r="B253" t="s">
        <v>689</v>
      </c>
      <c r="C253" t="s">
        <v>690</v>
      </c>
      <c r="D253" t="s">
        <v>10</v>
      </c>
    </row>
    <row r="254" spans="1:4" x14ac:dyDescent="0.35">
      <c r="A254" t="s">
        <v>691</v>
      </c>
      <c r="B254" t="s">
        <v>692</v>
      </c>
      <c r="C254" t="s">
        <v>693</v>
      </c>
      <c r="D254" t="s">
        <v>10</v>
      </c>
    </row>
    <row r="255" spans="1:4" x14ac:dyDescent="0.35">
      <c r="A255" t="s">
        <v>694</v>
      </c>
      <c r="B255" t="s">
        <v>695</v>
      </c>
      <c r="C255" t="s">
        <v>696</v>
      </c>
      <c r="D255" t="s">
        <v>10</v>
      </c>
    </row>
    <row r="256" spans="1:4" x14ac:dyDescent="0.35">
      <c r="A256" t="s">
        <v>697</v>
      </c>
      <c r="B256" t="s">
        <v>698</v>
      </c>
      <c r="C256" t="s">
        <v>699</v>
      </c>
      <c r="D256" t="s">
        <v>10</v>
      </c>
    </row>
    <row r="257" spans="1:4" x14ac:dyDescent="0.35">
      <c r="A257" t="s">
        <v>700</v>
      </c>
      <c r="B257" t="s">
        <v>701</v>
      </c>
      <c r="C257" t="s">
        <v>702</v>
      </c>
      <c r="D257" t="s">
        <v>10</v>
      </c>
    </row>
    <row r="258" spans="1:4" x14ac:dyDescent="0.35">
      <c r="A258" t="s">
        <v>703</v>
      </c>
      <c r="B258" t="s">
        <v>704</v>
      </c>
      <c r="C258" t="s">
        <v>699</v>
      </c>
      <c r="D258" t="s">
        <v>10</v>
      </c>
    </row>
    <row r="259" spans="1:4" x14ac:dyDescent="0.35">
      <c r="A259" t="s">
        <v>705</v>
      </c>
      <c r="B259" t="s">
        <v>706</v>
      </c>
      <c r="C259" t="s">
        <v>707</v>
      </c>
      <c r="D259" t="s">
        <v>10</v>
      </c>
    </row>
    <row r="260" spans="1:4" x14ac:dyDescent="0.35">
      <c r="A260" t="s">
        <v>708</v>
      </c>
      <c r="B260" t="s">
        <v>709</v>
      </c>
      <c r="C260" t="s">
        <v>710</v>
      </c>
      <c r="D260" t="s">
        <v>10</v>
      </c>
    </row>
    <row r="261" spans="1:4" x14ac:dyDescent="0.35">
      <c r="A261" t="s">
        <v>711</v>
      </c>
      <c r="B261" t="s">
        <v>712</v>
      </c>
      <c r="C261" t="s">
        <v>713</v>
      </c>
      <c r="D261" t="s">
        <v>10</v>
      </c>
    </row>
    <row r="262" spans="1:4" x14ac:dyDescent="0.35">
      <c r="A262" t="s">
        <v>714</v>
      </c>
      <c r="B262" t="s">
        <v>715</v>
      </c>
      <c r="C262" t="s">
        <v>716</v>
      </c>
      <c r="D262" t="s">
        <v>10</v>
      </c>
    </row>
    <row r="263" spans="1:4" x14ac:dyDescent="0.35">
      <c r="A263" t="s">
        <v>717</v>
      </c>
      <c r="B263" t="s">
        <v>718</v>
      </c>
      <c r="C263" t="s">
        <v>719</v>
      </c>
      <c r="D263" t="s">
        <v>10</v>
      </c>
    </row>
    <row r="264" spans="1:4" x14ac:dyDescent="0.35">
      <c r="A264" t="s">
        <v>720</v>
      </c>
      <c r="B264" t="s">
        <v>721</v>
      </c>
      <c r="C264" t="s">
        <v>722</v>
      </c>
      <c r="D264" t="s">
        <v>10</v>
      </c>
    </row>
    <row r="265" spans="1:4" x14ac:dyDescent="0.35">
      <c r="A265" t="s">
        <v>723</v>
      </c>
      <c r="B265" t="s">
        <v>724</v>
      </c>
      <c r="C265" t="s">
        <v>725</v>
      </c>
      <c r="D265" t="s">
        <v>10</v>
      </c>
    </row>
    <row r="266" spans="1:4" x14ac:dyDescent="0.35">
      <c r="A266" t="s">
        <v>726</v>
      </c>
      <c r="B266" t="s">
        <v>727</v>
      </c>
      <c r="C266" t="s">
        <v>687</v>
      </c>
      <c r="D266" t="s">
        <v>10</v>
      </c>
    </row>
    <row r="267" spans="1:4" x14ac:dyDescent="0.35">
      <c r="A267" t="s">
        <v>728</v>
      </c>
      <c r="B267" t="s">
        <v>729</v>
      </c>
      <c r="C267" t="s">
        <v>580</v>
      </c>
      <c r="D267" t="s">
        <v>10</v>
      </c>
    </row>
    <row r="268" spans="1:4" x14ac:dyDescent="0.35">
      <c r="A268" t="s">
        <v>730</v>
      </c>
      <c r="B268" t="s">
        <v>731</v>
      </c>
      <c r="C268" t="s">
        <v>732</v>
      </c>
      <c r="D268" t="s">
        <v>10</v>
      </c>
    </row>
    <row r="269" spans="1:4" x14ac:dyDescent="0.35">
      <c r="A269" t="s">
        <v>733</v>
      </c>
      <c r="B269" t="s">
        <v>734</v>
      </c>
      <c r="C269" t="s">
        <v>591</v>
      </c>
      <c r="D269" t="s">
        <v>10</v>
      </c>
    </row>
    <row r="270" spans="1:4" x14ac:dyDescent="0.35">
      <c r="A270" t="s">
        <v>735</v>
      </c>
      <c r="B270" t="s">
        <v>736</v>
      </c>
      <c r="C270" t="s">
        <v>737</v>
      </c>
      <c r="D270" t="s">
        <v>10</v>
      </c>
    </row>
    <row r="271" spans="1:4" x14ac:dyDescent="0.35">
      <c r="A271" t="s">
        <v>738</v>
      </c>
      <c r="B271" t="s">
        <v>739</v>
      </c>
      <c r="C271" t="s">
        <v>740</v>
      </c>
      <c r="D271" t="s">
        <v>10</v>
      </c>
    </row>
    <row r="272" spans="1:4" x14ac:dyDescent="0.35">
      <c r="A272" t="s">
        <v>741</v>
      </c>
      <c r="B272" t="s">
        <v>742</v>
      </c>
      <c r="C272" t="s">
        <v>743</v>
      </c>
      <c r="D272" t="s">
        <v>10</v>
      </c>
    </row>
    <row r="273" spans="1:4" x14ac:dyDescent="0.35">
      <c r="A273" t="s">
        <v>744</v>
      </c>
      <c r="B273" t="s">
        <v>745</v>
      </c>
      <c r="C273" t="s">
        <v>617</v>
      </c>
      <c r="D273" t="s">
        <v>10</v>
      </c>
    </row>
    <row r="274" spans="1:4" x14ac:dyDescent="0.35">
      <c r="A274" t="s">
        <v>746</v>
      </c>
      <c r="B274" t="s">
        <v>747</v>
      </c>
      <c r="C274" t="s">
        <v>748</v>
      </c>
      <c r="D274" t="s">
        <v>10</v>
      </c>
    </row>
    <row r="275" spans="1:4" x14ac:dyDescent="0.35">
      <c r="A275" t="s">
        <v>749</v>
      </c>
      <c r="B275" t="s">
        <v>750</v>
      </c>
      <c r="C275" t="s">
        <v>681</v>
      </c>
      <c r="D275" t="s">
        <v>10</v>
      </c>
    </row>
    <row r="276" spans="1:4" x14ac:dyDescent="0.35">
      <c r="A276" t="s">
        <v>751</v>
      </c>
      <c r="B276" t="s">
        <v>752</v>
      </c>
      <c r="C276" t="s">
        <v>517</v>
      </c>
      <c r="D276" t="s">
        <v>10</v>
      </c>
    </row>
    <row r="277" spans="1:4" x14ac:dyDescent="0.35">
      <c r="A277" t="s">
        <v>753</v>
      </c>
      <c r="B277" t="s">
        <v>754</v>
      </c>
      <c r="C277" t="s">
        <v>681</v>
      </c>
      <c r="D277" t="s">
        <v>10</v>
      </c>
    </row>
    <row r="278" spans="1:4" x14ac:dyDescent="0.35">
      <c r="A278" t="s">
        <v>755</v>
      </c>
      <c r="B278" t="s">
        <v>756</v>
      </c>
      <c r="C278" t="s">
        <v>672</v>
      </c>
      <c r="D278" t="s">
        <v>10</v>
      </c>
    </row>
    <row r="279" spans="1:4" x14ac:dyDescent="0.35">
      <c r="A279" t="s">
        <v>757</v>
      </c>
      <c r="B279" t="s">
        <v>758</v>
      </c>
      <c r="C279" t="s">
        <v>722</v>
      </c>
      <c r="D279" t="s">
        <v>10</v>
      </c>
    </row>
    <row r="280" spans="1:4" x14ac:dyDescent="0.35">
      <c r="A280" t="s">
        <v>759</v>
      </c>
      <c r="B280" t="s">
        <v>760</v>
      </c>
      <c r="C280" t="s">
        <v>722</v>
      </c>
      <c r="D280" t="s">
        <v>10</v>
      </c>
    </row>
    <row r="281" spans="1:4" x14ac:dyDescent="0.35">
      <c r="A281" t="s">
        <v>761</v>
      </c>
      <c r="B281" t="s">
        <v>762</v>
      </c>
      <c r="C281" t="s">
        <v>763</v>
      </c>
      <c r="D281" t="s">
        <v>10</v>
      </c>
    </row>
    <row r="282" spans="1:4" x14ac:dyDescent="0.35">
      <c r="A282" t="s">
        <v>764</v>
      </c>
      <c r="B282" t="s">
        <v>765</v>
      </c>
      <c r="C282" t="s">
        <v>766</v>
      </c>
      <c r="D282" t="s">
        <v>10</v>
      </c>
    </row>
    <row r="283" spans="1:4" x14ac:dyDescent="0.35">
      <c r="A283" t="s">
        <v>767</v>
      </c>
      <c r="B283" t="s">
        <v>768</v>
      </c>
      <c r="C283" t="s">
        <v>645</v>
      </c>
      <c r="D283" t="s">
        <v>10</v>
      </c>
    </row>
    <row r="284" spans="1:4" x14ac:dyDescent="0.35">
      <c r="A284" t="s">
        <v>769</v>
      </c>
      <c r="B284" t="s">
        <v>770</v>
      </c>
      <c r="C284" t="s">
        <v>687</v>
      </c>
      <c r="D284" t="s">
        <v>10</v>
      </c>
    </row>
    <row r="285" spans="1:4" x14ac:dyDescent="0.35">
      <c r="A285" t="s">
        <v>771</v>
      </c>
      <c r="B285" t="s">
        <v>772</v>
      </c>
      <c r="C285" t="s">
        <v>773</v>
      </c>
      <c r="D285" t="s">
        <v>10</v>
      </c>
    </row>
    <row r="286" spans="1:4" x14ac:dyDescent="0.35">
      <c r="A286" t="s">
        <v>774</v>
      </c>
      <c r="B286" t="s">
        <v>775</v>
      </c>
      <c r="C286" t="s">
        <v>304</v>
      </c>
      <c r="D286" t="s">
        <v>10</v>
      </c>
    </row>
    <row r="287" spans="1:4" x14ac:dyDescent="0.35">
      <c r="A287" t="s">
        <v>776</v>
      </c>
      <c r="B287" t="s">
        <v>777</v>
      </c>
      <c r="C287" t="s">
        <v>557</v>
      </c>
      <c r="D287" t="s">
        <v>10</v>
      </c>
    </row>
    <row r="288" spans="1:4" x14ac:dyDescent="0.35">
      <c r="A288" t="s">
        <v>778</v>
      </c>
      <c r="B288" t="s">
        <v>779</v>
      </c>
      <c r="C288" t="s">
        <v>675</v>
      </c>
      <c r="D288" t="s">
        <v>10</v>
      </c>
    </row>
    <row r="289" spans="1:4" x14ac:dyDescent="0.35">
      <c r="A289" t="s">
        <v>780</v>
      </c>
      <c r="B289" t="s">
        <v>781</v>
      </c>
      <c r="C289" t="s">
        <v>782</v>
      </c>
      <c r="D289" t="s">
        <v>10</v>
      </c>
    </row>
    <row r="290" spans="1:4" x14ac:dyDescent="0.35">
      <c r="A290" t="s">
        <v>783</v>
      </c>
      <c r="B290" t="s">
        <v>784</v>
      </c>
      <c r="C290" t="s">
        <v>785</v>
      </c>
      <c r="D290" t="s">
        <v>10</v>
      </c>
    </row>
    <row r="291" spans="1:4" x14ac:dyDescent="0.35">
      <c r="A291" t="s">
        <v>786</v>
      </c>
      <c r="B291" t="s">
        <v>787</v>
      </c>
      <c r="C291" t="s">
        <v>788</v>
      </c>
      <c r="D291" t="s">
        <v>10</v>
      </c>
    </row>
    <row r="292" spans="1:4" x14ac:dyDescent="0.35">
      <c r="A292" t="s">
        <v>789</v>
      </c>
      <c r="B292" t="s">
        <v>790</v>
      </c>
      <c r="C292" t="s">
        <v>791</v>
      </c>
      <c r="D292" t="s">
        <v>10</v>
      </c>
    </row>
    <row r="293" spans="1:4" x14ac:dyDescent="0.35">
      <c r="A293" t="s">
        <v>792</v>
      </c>
      <c r="B293" t="s">
        <v>793</v>
      </c>
      <c r="C293" t="s">
        <v>794</v>
      </c>
      <c r="D293" t="s">
        <v>10</v>
      </c>
    </row>
    <row r="294" spans="1:4" x14ac:dyDescent="0.35">
      <c r="A294" t="s">
        <v>795</v>
      </c>
      <c r="B294" t="s">
        <v>796</v>
      </c>
      <c r="C294" t="s">
        <v>525</v>
      </c>
      <c r="D294" t="s">
        <v>10</v>
      </c>
    </row>
    <row r="295" spans="1:4" x14ac:dyDescent="0.35">
      <c r="A295" t="s">
        <v>797</v>
      </c>
      <c r="B295" t="s">
        <v>798</v>
      </c>
      <c r="C295" t="s">
        <v>628</v>
      </c>
      <c r="D295" t="s">
        <v>10</v>
      </c>
    </row>
    <row r="296" spans="1:4" x14ac:dyDescent="0.35">
      <c r="A296" t="s">
        <v>799</v>
      </c>
      <c r="B296" t="s">
        <v>800</v>
      </c>
      <c r="C296" t="s">
        <v>801</v>
      </c>
      <c r="D296" t="s">
        <v>10</v>
      </c>
    </row>
    <row r="297" spans="1:4" x14ac:dyDescent="0.35">
      <c r="A297" t="s">
        <v>802</v>
      </c>
      <c r="B297" t="s">
        <v>803</v>
      </c>
      <c r="C297" t="s">
        <v>804</v>
      </c>
      <c r="D297" t="s">
        <v>10</v>
      </c>
    </row>
    <row r="298" spans="1:4" x14ac:dyDescent="0.35">
      <c r="A298" t="s">
        <v>805</v>
      </c>
      <c r="B298" t="s">
        <v>806</v>
      </c>
      <c r="C298" t="s">
        <v>807</v>
      </c>
      <c r="D298" t="s">
        <v>10</v>
      </c>
    </row>
    <row r="299" spans="1:4" x14ac:dyDescent="0.35">
      <c r="A299" t="s">
        <v>808</v>
      </c>
      <c r="B299" t="s">
        <v>809</v>
      </c>
      <c r="C299" t="s">
        <v>810</v>
      </c>
      <c r="D299" t="s">
        <v>10</v>
      </c>
    </row>
    <row r="300" spans="1:4" x14ac:dyDescent="0.35">
      <c r="A300" t="s">
        <v>811</v>
      </c>
      <c r="B300" t="s">
        <v>812</v>
      </c>
      <c r="C300" t="s">
        <v>813</v>
      </c>
      <c r="D300" t="s">
        <v>10</v>
      </c>
    </row>
    <row r="301" spans="1:4" x14ac:dyDescent="0.35">
      <c r="A301" t="s">
        <v>814</v>
      </c>
      <c r="B301" t="s">
        <v>815</v>
      </c>
      <c r="C301" t="s">
        <v>816</v>
      </c>
      <c r="D301" t="s">
        <v>10</v>
      </c>
    </row>
    <row r="302" spans="1:4" x14ac:dyDescent="0.35">
      <c r="A302" t="s">
        <v>817</v>
      </c>
      <c r="B302" t="s">
        <v>818</v>
      </c>
      <c r="C302" t="s">
        <v>816</v>
      </c>
      <c r="D302" t="s">
        <v>10</v>
      </c>
    </row>
    <row r="303" spans="1:4" x14ac:dyDescent="0.35">
      <c r="A303" t="s">
        <v>819</v>
      </c>
      <c r="B303" t="s">
        <v>820</v>
      </c>
      <c r="C303" t="s">
        <v>821</v>
      </c>
      <c r="D303" t="s">
        <v>10</v>
      </c>
    </row>
    <row r="304" spans="1:4" x14ac:dyDescent="0.35">
      <c r="A304" t="s">
        <v>822</v>
      </c>
      <c r="B304" t="s">
        <v>823</v>
      </c>
      <c r="C304" t="s">
        <v>824</v>
      </c>
      <c r="D304" t="s">
        <v>10</v>
      </c>
    </row>
    <row r="305" spans="1:4" x14ac:dyDescent="0.35">
      <c r="A305" t="s">
        <v>825</v>
      </c>
      <c r="B305" t="s">
        <v>826</v>
      </c>
      <c r="C305" t="s">
        <v>827</v>
      </c>
      <c r="D305" t="s">
        <v>10</v>
      </c>
    </row>
    <row r="306" spans="1:4" x14ac:dyDescent="0.35">
      <c r="A306" t="s">
        <v>828</v>
      </c>
      <c r="B306" t="s">
        <v>829</v>
      </c>
      <c r="C306" t="s">
        <v>687</v>
      </c>
      <c r="D306" t="s">
        <v>10</v>
      </c>
    </row>
    <row r="307" spans="1:4" x14ac:dyDescent="0.35">
      <c r="A307" t="s">
        <v>830</v>
      </c>
      <c r="B307" t="s">
        <v>831</v>
      </c>
      <c r="C307" t="s">
        <v>687</v>
      </c>
      <c r="D307" t="s">
        <v>10</v>
      </c>
    </row>
    <row r="308" spans="1:4" x14ac:dyDescent="0.35">
      <c r="A308" t="s">
        <v>832</v>
      </c>
      <c r="B308" t="s">
        <v>833</v>
      </c>
      <c r="C308" t="s">
        <v>791</v>
      </c>
      <c r="D308" t="s">
        <v>10</v>
      </c>
    </row>
    <row r="309" spans="1:4" x14ac:dyDescent="0.35">
      <c r="A309" t="s">
        <v>834</v>
      </c>
      <c r="B309" t="s">
        <v>835</v>
      </c>
      <c r="C309" t="s">
        <v>836</v>
      </c>
      <c r="D309" t="s">
        <v>10</v>
      </c>
    </row>
    <row r="310" spans="1:4" x14ac:dyDescent="0.35">
      <c r="A310" t="s">
        <v>837</v>
      </c>
      <c r="B310" t="s">
        <v>838</v>
      </c>
      <c r="C310" t="s">
        <v>839</v>
      </c>
      <c r="D310" t="s">
        <v>10</v>
      </c>
    </row>
    <row r="311" spans="1:4" x14ac:dyDescent="0.35">
      <c r="A311" t="s">
        <v>840</v>
      </c>
      <c r="B311" t="s">
        <v>841</v>
      </c>
      <c r="C311" t="s">
        <v>842</v>
      </c>
      <c r="D311" t="s">
        <v>10</v>
      </c>
    </row>
    <row r="312" spans="1:4" x14ac:dyDescent="0.35">
      <c r="A312" t="s">
        <v>843</v>
      </c>
      <c r="B312" t="s">
        <v>844</v>
      </c>
      <c r="C312" t="s">
        <v>845</v>
      </c>
      <c r="D312" t="s">
        <v>10</v>
      </c>
    </row>
    <row r="313" spans="1:4" x14ac:dyDescent="0.35">
      <c r="A313" t="s">
        <v>846</v>
      </c>
      <c r="B313" t="s">
        <v>847</v>
      </c>
      <c r="C313" t="s">
        <v>525</v>
      </c>
      <c r="D313" t="s">
        <v>10</v>
      </c>
    </row>
    <row r="314" spans="1:4" x14ac:dyDescent="0.35">
      <c r="A314" t="s">
        <v>848</v>
      </c>
      <c r="B314" t="s">
        <v>849</v>
      </c>
      <c r="C314" t="s">
        <v>850</v>
      </c>
      <c r="D314" t="s">
        <v>10</v>
      </c>
    </row>
    <row r="315" spans="1:4" x14ac:dyDescent="0.35">
      <c r="A315" t="s">
        <v>851</v>
      </c>
      <c r="B315" t="s">
        <v>852</v>
      </c>
      <c r="C315" t="s">
        <v>687</v>
      </c>
      <c r="D315" t="s">
        <v>10</v>
      </c>
    </row>
    <row r="316" spans="1:4" x14ac:dyDescent="0.35">
      <c r="A316" t="s">
        <v>853</v>
      </c>
      <c r="B316" t="s">
        <v>854</v>
      </c>
      <c r="C316" t="s">
        <v>148</v>
      </c>
      <c r="D316" t="s">
        <v>10</v>
      </c>
    </row>
    <row r="317" spans="1:4" x14ac:dyDescent="0.35">
      <c r="A317" t="s">
        <v>855</v>
      </c>
      <c r="B317" t="s">
        <v>856</v>
      </c>
      <c r="C317" t="s">
        <v>857</v>
      </c>
      <c r="D317" t="s">
        <v>10</v>
      </c>
    </row>
    <row r="318" spans="1:4" x14ac:dyDescent="0.35">
      <c r="A318" t="s">
        <v>858</v>
      </c>
      <c r="B318" t="s">
        <v>859</v>
      </c>
      <c r="C318" t="s">
        <v>860</v>
      </c>
      <c r="D318" t="s">
        <v>10</v>
      </c>
    </row>
    <row r="319" spans="1:4" x14ac:dyDescent="0.35">
      <c r="A319" t="s">
        <v>861</v>
      </c>
      <c r="B319" t="s">
        <v>862</v>
      </c>
      <c r="C319" t="s">
        <v>863</v>
      </c>
      <c r="D319" t="s">
        <v>10</v>
      </c>
    </row>
    <row r="320" spans="1:4" x14ac:dyDescent="0.35">
      <c r="A320" t="s">
        <v>864</v>
      </c>
      <c r="B320" t="s">
        <v>865</v>
      </c>
      <c r="C320" t="s">
        <v>866</v>
      </c>
      <c r="D320" t="s">
        <v>10</v>
      </c>
    </row>
    <row r="321" spans="1:4" x14ac:dyDescent="0.35">
      <c r="A321" t="s">
        <v>867</v>
      </c>
      <c r="B321" t="s">
        <v>868</v>
      </c>
      <c r="C321" t="s">
        <v>869</v>
      </c>
      <c r="D321" t="s">
        <v>10</v>
      </c>
    </row>
    <row r="322" spans="1:4" x14ac:dyDescent="0.35">
      <c r="A322" t="s">
        <v>870</v>
      </c>
      <c r="B322" t="s">
        <v>871</v>
      </c>
      <c r="C322" t="s">
        <v>642</v>
      </c>
      <c r="D322" t="s">
        <v>10</v>
      </c>
    </row>
    <row r="323" spans="1:4" x14ac:dyDescent="0.35">
      <c r="A323" t="s">
        <v>872</v>
      </c>
      <c r="B323" t="s">
        <v>873</v>
      </c>
      <c r="C323" t="s">
        <v>874</v>
      </c>
      <c r="D323" t="s">
        <v>10</v>
      </c>
    </row>
    <row r="324" spans="1:4" x14ac:dyDescent="0.35">
      <c r="A324" t="s">
        <v>875</v>
      </c>
      <c r="B324" t="s">
        <v>876</v>
      </c>
      <c r="C324" t="s">
        <v>631</v>
      </c>
      <c r="D324" t="s">
        <v>10</v>
      </c>
    </row>
    <row r="325" spans="1:4" x14ac:dyDescent="0.35">
      <c r="A325" t="s">
        <v>877</v>
      </c>
      <c r="B325" t="s">
        <v>878</v>
      </c>
      <c r="C325" t="s">
        <v>879</v>
      </c>
      <c r="D325" t="s">
        <v>10</v>
      </c>
    </row>
    <row r="326" spans="1:4" x14ac:dyDescent="0.35">
      <c r="A326" t="s">
        <v>880</v>
      </c>
      <c r="B326" t="s">
        <v>881</v>
      </c>
      <c r="C326" t="s">
        <v>557</v>
      </c>
      <c r="D326" t="s">
        <v>10</v>
      </c>
    </row>
    <row r="327" spans="1:4" x14ac:dyDescent="0.35">
      <c r="A327" t="s">
        <v>882</v>
      </c>
      <c r="B327" t="s">
        <v>883</v>
      </c>
      <c r="C327" t="s">
        <v>884</v>
      </c>
      <c r="D327" t="s">
        <v>10</v>
      </c>
    </row>
    <row r="328" spans="1:4" x14ac:dyDescent="0.35">
      <c r="A328" t="s">
        <v>885</v>
      </c>
      <c r="B328" t="s">
        <v>886</v>
      </c>
      <c r="C328" t="s">
        <v>887</v>
      </c>
      <c r="D328" t="s">
        <v>10</v>
      </c>
    </row>
    <row r="329" spans="1:4" x14ac:dyDescent="0.35">
      <c r="A329" t="s">
        <v>888</v>
      </c>
      <c r="B329" t="s">
        <v>889</v>
      </c>
      <c r="C329" t="s">
        <v>890</v>
      </c>
      <c r="D329" t="s">
        <v>10</v>
      </c>
    </row>
    <row r="330" spans="1:4" x14ac:dyDescent="0.35">
      <c r="A330" t="s">
        <v>891</v>
      </c>
      <c r="B330" t="s">
        <v>892</v>
      </c>
      <c r="C330" t="s">
        <v>588</v>
      </c>
      <c r="D330" t="s">
        <v>10</v>
      </c>
    </row>
    <row r="331" spans="1:4" x14ac:dyDescent="0.35">
      <c r="A331" t="s">
        <v>893</v>
      </c>
      <c r="B331" t="s">
        <v>894</v>
      </c>
      <c r="C331" t="s">
        <v>588</v>
      </c>
      <c r="D331" t="s">
        <v>10</v>
      </c>
    </row>
    <row r="332" spans="1:4" x14ac:dyDescent="0.35">
      <c r="A332" t="s">
        <v>895</v>
      </c>
      <c r="B332" t="s">
        <v>896</v>
      </c>
      <c r="C332" t="s">
        <v>897</v>
      </c>
      <c r="D332" t="s">
        <v>10</v>
      </c>
    </row>
    <row r="333" spans="1:4" x14ac:dyDescent="0.35">
      <c r="A333" t="s">
        <v>898</v>
      </c>
      <c r="B333" t="s">
        <v>899</v>
      </c>
      <c r="C333" t="s">
        <v>897</v>
      </c>
      <c r="D333" t="s">
        <v>10</v>
      </c>
    </row>
    <row r="334" spans="1:4" x14ac:dyDescent="0.35">
      <c r="A334" t="s">
        <v>900</v>
      </c>
      <c r="B334" t="s">
        <v>901</v>
      </c>
      <c r="C334" t="s">
        <v>879</v>
      </c>
      <c r="D334" t="s">
        <v>10</v>
      </c>
    </row>
    <row r="335" spans="1:4" x14ac:dyDescent="0.35">
      <c r="A335" t="s">
        <v>902</v>
      </c>
      <c r="B335" t="s">
        <v>903</v>
      </c>
      <c r="C335" t="s">
        <v>904</v>
      </c>
      <c r="D335" t="s">
        <v>10</v>
      </c>
    </row>
    <row r="336" spans="1:4" x14ac:dyDescent="0.35">
      <c r="A336" t="s">
        <v>905</v>
      </c>
      <c r="B336" t="s">
        <v>906</v>
      </c>
      <c r="C336" t="s">
        <v>879</v>
      </c>
      <c r="D336" t="s">
        <v>10</v>
      </c>
    </row>
    <row r="337" spans="1:4" x14ac:dyDescent="0.35">
      <c r="A337" t="s">
        <v>907</v>
      </c>
      <c r="B337" t="s">
        <v>908</v>
      </c>
      <c r="C337" t="s">
        <v>909</v>
      </c>
      <c r="D337" t="s">
        <v>10</v>
      </c>
    </row>
    <row r="338" spans="1:4" x14ac:dyDescent="0.35">
      <c r="A338" t="s">
        <v>910</v>
      </c>
      <c r="B338" t="s">
        <v>911</v>
      </c>
      <c r="C338" t="s">
        <v>909</v>
      </c>
      <c r="D338" t="s">
        <v>10</v>
      </c>
    </row>
    <row r="339" spans="1:4" x14ac:dyDescent="0.35">
      <c r="A339" t="s">
        <v>912</v>
      </c>
      <c r="B339" t="s">
        <v>913</v>
      </c>
      <c r="C339" t="s">
        <v>914</v>
      </c>
      <c r="D339" t="s">
        <v>10</v>
      </c>
    </row>
    <row r="340" spans="1:4" x14ac:dyDescent="0.35">
      <c r="A340" t="s">
        <v>915</v>
      </c>
      <c r="B340" t="s">
        <v>916</v>
      </c>
      <c r="C340" t="s">
        <v>917</v>
      </c>
      <c r="D340" t="s">
        <v>10</v>
      </c>
    </row>
    <row r="341" spans="1:4" x14ac:dyDescent="0.35">
      <c r="A341" t="s">
        <v>918</v>
      </c>
      <c r="B341" t="s">
        <v>919</v>
      </c>
      <c r="C341" t="s">
        <v>920</v>
      </c>
      <c r="D341" t="s">
        <v>10</v>
      </c>
    </row>
    <row r="342" spans="1:4" x14ac:dyDescent="0.35">
      <c r="A342" t="s">
        <v>921</v>
      </c>
      <c r="B342" t="s">
        <v>922</v>
      </c>
      <c r="C342" t="s">
        <v>923</v>
      </c>
      <c r="D342" t="s">
        <v>10</v>
      </c>
    </row>
    <row r="343" spans="1:4" x14ac:dyDescent="0.35">
      <c r="A343" t="s">
        <v>924</v>
      </c>
      <c r="B343" t="s">
        <v>925</v>
      </c>
      <c r="C343" t="s">
        <v>130</v>
      </c>
      <c r="D343" t="s">
        <v>10</v>
      </c>
    </row>
    <row r="344" spans="1:4" x14ac:dyDescent="0.35">
      <c r="A344" t="s">
        <v>926</v>
      </c>
      <c r="B344" t="s">
        <v>927</v>
      </c>
      <c r="C344" t="s">
        <v>130</v>
      </c>
      <c r="D344" t="s">
        <v>10</v>
      </c>
    </row>
    <row r="345" spans="1:4" x14ac:dyDescent="0.35">
      <c r="A345" t="s">
        <v>928</v>
      </c>
      <c r="B345" t="s">
        <v>929</v>
      </c>
      <c r="C345" t="s">
        <v>930</v>
      </c>
      <c r="D345" t="s">
        <v>10</v>
      </c>
    </row>
    <row r="346" spans="1:4" x14ac:dyDescent="0.35">
      <c r="A346" t="s">
        <v>931</v>
      </c>
      <c r="B346" t="s">
        <v>932</v>
      </c>
      <c r="C346" t="s">
        <v>933</v>
      </c>
      <c r="D346" t="s">
        <v>10</v>
      </c>
    </row>
    <row r="347" spans="1:4" x14ac:dyDescent="0.35">
      <c r="A347" t="s">
        <v>934</v>
      </c>
      <c r="B347" t="s">
        <v>935</v>
      </c>
      <c r="C347" t="s">
        <v>130</v>
      </c>
      <c r="D347" t="s">
        <v>10</v>
      </c>
    </row>
    <row r="348" spans="1:4" x14ac:dyDescent="0.35">
      <c r="A348" t="s">
        <v>936</v>
      </c>
      <c r="B348" t="s">
        <v>937</v>
      </c>
      <c r="C348" t="s">
        <v>130</v>
      </c>
      <c r="D348" t="s">
        <v>10</v>
      </c>
    </row>
    <row r="349" spans="1:4" x14ac:dyDescent="0.35">
      <c r="A349" t="s">
        <v>938</v>
      </c>
      <c r="B349" t="s">
        <v>939</v>
      </c>
      <c r="C349" t="s">
        <v>879</v>
      </c>
      <c r="D349" t="s">
        <v>10</v>
      </c>
    </row>
    <row r="350" spans="1:4" x14ac:dyDescent="0.35">
      <c r="A350" t="s">
        <v>940</v>
      </c>
      <c r="B350" t="s">
        <v>941</v>
      </c>
      <c r="C350" t="s">
        <v>942</v>
      </c>
      <c r="D350" t="s">
        <v>10</v>
      </c>
    </row>
    <row r="351" spans="1:4" x14ac:dyDescent="0.35">
      <c r="A351" t="s">
        <v>943</v>
      </c>
      <c r="B351" t="s">
        <v>944</v>
      </c>
      <c r="C351" t="s">
        <v>945</v>
      </c>
      <c r="D351" t="s">
        <v>10</v>
      </c>
    </row>
    <row r="352" spans="1:4" x14ac:dyDescent="0.35">
      <c r="A352" t="s">
        <v>946</v>
      </c>
      <c r="B352" t="s">
        <v>947</v>
      </c>
      <c r="C352" t="s">
        <v>948</v>
      </c>
      <c r="D352" t="s">
        <v>10</v>
      </c>
    </row>
    <row r="353" spans="1:4" x14ac:dyDescent="0.35">
      <c r="A353" t="s">
        <v>949</v>
      </c>
      <c r="B353" t="s">
        <v>950</v>
      </c>
      <c r="C353" t="s">
        <v>951</v>
      </c>
      <c r="D353" t="s">
        <v>10</v>
      </c>
    </row>
    <row r="354" spans="1:4" x14ac:dyDescent="0.35">
      <c r="A354" t="s">
        <v>952</v>
      </c>
      <c r="B354" t="s">
        <v>953</v>
      </c>
      <c r="C354" t="s">
        <v>954</v>
      </c>
      <c r="D354" t="s">
        <v>10</v>
      </c>
    </row>
    <row r="355" spans="1:4" x14ac:dyDescent="0.35">
      <c r="A355" t="s">
        <v>955</v>
      </c>
      <c r="B355" t="s">
        <v>956</v>
      </c>
      <c r="C355" t="s">
        <v>601</v>
      </c>
      <c r="D355" t="s">
        <v>10</v>
      </c>
    </row>
    <row r="356" spans="1:4" x14ac:dyDescent="0.35">
      <c r="A356" t="s">
        <v>957</v>
      </c>
      <c r="B356" t="s">
        <v>958</v>
      </c>
      <c r="C356" t="s">
        <v>959</v>
      </c>
      <c r="D356" t="s">
        <v>10</v>
      </c>
    </row>
    <row r="357" spans="1:4" x14ac:dyDescent="0.35">
      <c r="A357" t="s">
        <v>960</v>
      </c>
      <c r="B357" t="s">
        <v>961</v>
      </c>
      <c r="C357" t="s">
        <v>687</v>
      </c>
      <c r="D357" t="s">
        <v>10</v>
      </c>
    </row>
    <row r="358" spans="1:4" x14ac:dyDescent="0.35">
      <c r="A358" t="s">
        <v>962</v>
      </c>
      <c r="B358" t="s">
        <v>963</v>
      </c>
      <c r="C358" t="s">
        <v>964</v>
      </c>
      <c r="D358" t="s">
        <v>10</v>
      </c>
    </row>
    <row r="359" spans="1:4" x14ac:dyDescent="0.35">
      <c r="A359" t="s">
        <v>965</v>
      </c>
      <c r="B359" t="s">
        <v>966</v>
      </c>
      <c r="C359" t="s">
        <v>967</v>
      </c>
      <c r="D359" t="s">
        <v>10</v>
      </c>
    </row>
    <row r="360" spans="1:4" x14ac:dyDescent="0.35">
      <c r="A360" t="s">
        <v>968</v>
      </c>
      <c r="B360" t="s">
        <v>969</v>
      </c>
      <c r="C360" t="s">
        <v>970</v>
      </c>
      <c r="D360" t="s">
        <v>10</v>
      </c>
    </row>
    <row r="361" spans="1:4" x14ac:dyDescent="0.35">
      <c r="A361" t="s">
        <v>971</v>
      </c>
      <c r="B361" t="s">
        <v>972</v>
      </c>
      <c r="C361" t="s">
        <v>973</v>
      </c>
      <c r="D361" t="s">
        <v>10</v>
      </c>
    </row>
    <row r="362" spans="1:4" x14ac:dyDescent="0.35">
      <c r="A362" t="s">
        <v>974</v>
      </c>
      <c r="B362" t="s">
        <v>975</v>
      </c>
      <c r="C362" t="s">
        <v>732</v>
      </c>
      <c r="D362" t="s">
        <v>10</v>
      </c>
    </row>
    <row r="363" spans="1:4" x14ac:dyDescent="0.35">
      <c r="A363" t="s">
        <v>976</v>
      </c>
      <c r="B363" t="s">
        <v>977</v>
      </c>
      <c r="C363" t="s">
        <v>978</v>
      </c>
      <c r="D363" t="s">
        <v>10</v>
      </c>
    </row>
    <row r="364" spans="1:4" x14ac:dyDescent="0.35">
      <c r="A364" t="s">
        <v>979</v>
      </c>
      <c r="B364" t="s">
        <v>980</v>
      </c>
      <c r="C364" t="s">
        <v>981</v>
      </c>
      <c r="D364" t="s">
        <v>10</v>
      </c>
    </row>
    <row r="365" spans="1:4" x14ac:dyDescent="0.35">
      <c r="A365" t="s">
        <v>982</v>
      </c>
      <c r="B365" t="s">
        <v>983</v>
      </c>
      <c r="C365" t="s">
        <v>148</v>
      </c>
      <c r="D365" t="s">
        <v>10</v>
      </c>
    </row>
    <row r="366" spans="1:4" x14ac:dyDescent="0.35">
      <c r="A366" t="s">
        <v>984</v>
      </c>
      <c r="B366" t="s">
        <v>985</v>
      </c>
      <c r="C366" t="s">
        <v>986</v>
      </c>
      <c r="D366" t="s">
        <v>10</v>
      </c>
    </row>
    <row r="367" spans="1:4" x14ac:dyDescent="0.35">
      <c r="A367" t="s">
        <v>987</v>
      </c>
      <c r="B367" t="s">
        <v>988</v>
      </c>
      <c r="C367" t="s">
        <v>557</v>
      </c>
      <c r="D367" t="s">
        <v>10</v>
      </c>
    </row>
    <row r="368" spans="1:4" x14ac:dyDescent="0.35">
      <c r="A368" t="s">
        <v>989</v>
      </c>
      <c r="B368" t="s">
        <v>990</v>
      </c>
      <c r="C368" t="s">
        <v>991</v>
      </c>
      <c r="D368" t="s">
        <v>10</v>
      </c>
    </row>
    <row r="369" spans="1:4" x14ac:dyDescent="0.35">
      <c r="A369" t="s">
        <v>992</v>
      </c>
      <c r="B369" t="s">
        <v>993</v>
      </c>
      <c r="C369" t="s">
        <v>879</v>
      </c>
      <c r="D369" t="s">
        <v>10</v>
      </c>
    </row>
    <row r="370" spans="1:4" x14ac:dyDescent="0.35">
      <c r="A370" t="s">
        <v>994</v>
      </c>
      <c r="B370" t="s">
        <v>995</v>
      </c>
      <c r="C370" t="s">
        <v>879</v>
      </c>
      <c r="D370" t="s">
        <v>10</v>
      </c>
    </row>
    <row r="371" spans="1:4" x14ac:dyDescent="0.35">
      <c r="A371" t="s">
        <v>996</v>
      </c>
      <c r="B371" t="s">
        <v>997</v>
      </c>
      <c r="C371" t="s">
        <v>998</v>
      </c>
      <c r="D371" t="s">
        <v>10</v>
      </c>
    </row>
    <row r="372" spans="1:4" x14ac:dyDescent="0.35">
      <c r="A372" t="s">
        <v>999</v>
      </c>
      <c r="B372" t="s">
        <v>1000</v>
      </c>
      <c r="C372" t="s">
        <v>1001</v>
      </c>
      <c r="D372" t="s">
        <v>10</v>
      </c>
    </row>
    <row r="373" spans="1:4" x14ac:dyDescent="0.35">
      <c r="A373" t="s">
        <v>1002</v>
      </c>
      <c r="B373" t="s">
        <v>1003</v>
      </c>
      <c r="C373" t="s">
        <v>631</v>
      </c>
      <c r="D373" t="s">
        <v>10</v>
      </c>
    </row>
    <row r="374" spans="1:4" x14ac:dyDescent="0.35">
      <c r="A374" t="s">
        <v>1004</v>
      </c>
      <c r="B374" t="s">
        <v>1005</v>
      </c>
      <c r="C374" t="s">
        <v>1006</v>
      </c>
      <c r="D374" t="s">
        <v>10</v>
      </c>
    </row>
    <row r="375" spans="1:4" x14ac:dyDescent="0.35">
      <c r="A375" t="s">
        <v>1007</v>
      </c>
      <c r="B375" t="s">
        <v>1008</v>
      </c>
      <c r="C375" t="s">
        <v>1009</v>
      </c>
      <c r="D375" t="s">
        <v>10</v>
      </c>
    </row>
    <row r="376" spans="1:4" x14ac:dyDescent="0.35">
      <c r="A376" t="s">
        <v>1010</v>
      </c>
      <c r="B376" t="s">
        <v>1011</v>
      </c>
      <c r="C376" t="s">
        <v>1012</v>
      </c>
      <c r="D376" t="s">
        <v>10</v>
      </c>
    </row>
    <row r="377" spans="1:4" x14ac:dyDescent="0.35">
      <c r="A377" t="s">
        <v>1013</v>
      </c>
      <c r="B377" t="s">
        <v>1014</v>
      </c>
      <c r="C377" t="s">
        <v>1015</v>
      </c>
      <c r="D377" t="s">
        <v>10</v>
      </c>
    </row>
    <row r="378" spans="1:4" x14ac:dyDescent="0.35">
      <c r="A378" t="s">
        <v>1016</v>
      </c>
      <c r="B378" t="s">
        <v>1017</v>
      </c>
      <c r="C378" t="s">
        <v>1018</v>
      </c>
      <c r="D378" t="s">
        <v>10</v>
      </c>
    </row>
    <row r="379" spans="1:4" x14ac:dyDescent="0.35">
      <c r="A379" t="s">
        <v>1019</v>
      </c>
      <c r="B379" t="s">
        <v>1020</v>
      </c>
      <c r="C379" t="s">
        <v>1021</v>
      </c>
      <c r="D379" t="s">
        <v>10</v>
      </c>
    </row>
    <row r="380" spans="1:4" x14ac:dyDescent="0.35">
      <c r="A380" t="s">
        <v>1022</v>
      </c>
      <c r="B380" t="s">
        <v>1023</v>
      </c>
      <c r="C380" t="s">
        <v>1021</v>
      </c>
      <c r="D380" t="s">
        <v>10</v>
      </c>
    </row>
    <row r="381" spans="1:4" x14ac:dyDescent="0.35">
      <c r="A381" t="s">
        <v>1024</v>
      </c>
      <c r="B381" t="s">
        <v>1025</v>
      </c>
      <c r="C381" t="s">
        <v>1018</v>
      </c>
      <c r="D381" t="s">
        <v>10</v>
      </c>
    </row>
    <row r="382" spans="1:4" x14ac:dyDescent="0.35">
      <c r="A382" t="s">
        <v>1026</v>
      </c>
      <c r="B382" t="s">
        <v>1027</v>
      </c>
      <c r="C382" t="s">
        <v>1028</v>
      </c>
      <c r="D382" t="s">
        <v>10</v>
      </c>
    </row>
    <row r="383" spans="1:4" x14ac:dyDescent="0.35">
      <c r="A383" t="s">
        <v>1029</v>
      </c>
      <c r="B383" t="s">
        <v>1030</v>
      </c>
      <c r="C383" t="s">
        <v>1031</v>
      </c>
      <c r="D383" t="s">
        <v>10</v>
      </c>
    </row>
    <row r="384" spans="1:4" x14ac:dyDescent="0.35">
      <c r="A384" t="s">
        <v>1032</v>
      </c>
      <c r="B384" t="s">
        <v>1033</v>
      </c>
      <c r="C384" t="s">
        <v>537</v>
      </c>
      <c r="D384" t="s">
        <v>10</v>
      </c>
    </row>
    <row r="385" spans="1:4" x14ac:dyDescent="0.35">
      <c r="A385" t="s">
        <v>1034</v>
      </c>
      <c r="B385" t="s">
        <v>1035</v>
      </c>
      <c r="C385" t="s">
        <v>1036</v>
      </c>
      <c r="D385" t="s">
        <v>10</v>
      </c>
    </row>
    <row r="386" spans="1:4" x14ac:dyDescent="0.35">
      <c r="A386" t="s">
        <v>1037</v>
      </c>
      <c r="B386" t="s">
        <v>1038</v>
      </c>
      <c r="C386" t="s">
        <v>1039</v>
      </c>
      <c r="D386" t="s">
        <v>10</v>
      </c>
    </row>
    <row r="387" spans="1:4" x14ac:dyDescent="0.35">
      <c r="A387" t="s">
        <v>1040</v>
      </c>
      <c r="B387" t="s">
        <v>1041</v>
      </c>
      <c r="C387" t="s">
        <v>1042</v>
      </c>
      <c r="D387" t="s">
        <v>10</v>
      </c>
    </row>
    <row r="388" spans="1:4" x14ac:dyDescent="0.35">
      <c r="A388" t="s">
        <v>1043</v>
      </c>
      <c r="B388" t="s">
        <v>1044</v>
      </c>
      <c r="C388" t="s">
        <v>148</v>
      </c>
      <c r="D388" t="s">
        <v>10</v>
      </c>
    </row>
    <row r="389" spans="1:4" x14ac:dyDescent="0.35">
      <c r="A389" t="s">
        <v>1045</v>
      </c>
      <c r="B389" t="s">
        <v>1046</v>
      </c>
      <c r="C389" t="s">
        <v>426</v>
      </c>
      <c r="D389" t="s">
        <v>10</v>
      </c>
    </row>
    <row r="390" spans="1:4" x14ac:dyDescent="0.35">
      <c r="A390" t="s">
        <v>1047</v>
      </c>
      <c r="B390" t="s">
        <v>1048</v>
      </c>
      <c r="C390" t="s">
        <v>1049</v>
      </c>
      <c r="D390" t="s">
        <v>10</v>
      </c>
    </row>
    <row r="391" spans="1:4" x14ac:dyDescent="0.35">
      <c r="A391" t="s">
        <v>1050</v>
      </c>
      <c r="B391" t="s">
        <v>1051</v>
      </c>
      <c r="C391" t="s">
        <v>522</v>
      </c>
      <c r="D391" t="s">
        <v>10</v>
      </c>
    </row>
    <row r="392" spans="1:4" x14ac:dyDescent="0.35">
      <c r="A392" t="s">
        <v>1052</v>
      </c>
      <c r="B392" t="s">
        <v>1053</v>
      </c>
      <c r="C392" t="s">
        <v>522</v>
      </c>
      <c r="D392" t="s">
        <v>10</v>
      </c>
    </row>
    <row r="393" spans="1:4" x14ac:dyDescent="0.35">
      <c r="A393" t="s">
        <v>1054</v>
      </c>
      <c r="B393" t="s">
        <v>1055</v>
      </c>
      <c r="C393" t="s">
        <v>1056</v>
      </c>
      <c r="D393" t="s">
        <v>10</v>
      </c>
    </row>
    <row r="394" spans="1:4" x14ac:dyDescent="0.35">
      <c r="A394" t="s">
        <v>1057</v>
      </c>
      <c r="B394" t="s">
        <v>1058</v>
      </c>
      <c r="C394" t="s">
        <v>1059</v>
      </c>
      <c r="D394" t="s">
        <v>10</v>
      </c>
    </row>
    <row r="395" spans="1:4" x14ac:dyDescent="0.35">
      <c r="A395" t="s">
        <v>1060</v>
      </c>
      <c r="B395" t="s">
        <v>1061</v>
      </c>
      <c r="C395" t="s">
        <v>1062</v>
      </c>
      <c r="D395" t="s">
        <v>10</v>
      </c>
    </row>
    <row r="396" spans="1:4" x14ac:dyDescent="0.35">
      <c r="A396" t="s">
        <v>1063</v>
      </c>
      <c r="B396" t="s">
        <v>1064</v>
      </c>
      <c r="C396" t="s">
        <v>631</v>
      </c>
      <c r="D396" t="s">
        <v>10</v>
      </c>
    </row>
    <row r="397" spans="1:4" x14ac:dyDescent="0.35">
      <c r="A397" t="s">
        <v>1065</v>
      </c>
      <c r="B397" t="s">
        <v>1066</v>
      </c>
      <c r="C397" t="s">
        <v>487</v>
      </c>
      <c r="D397" t="s">
        <v>10</v>
      </c>
    </row>
    <row r="398" spans="1:4" x14ac:dyDescent="0.35">
      <c r="A398" t="s">
        <v>1067</v>
      </c>
      <c r="B398" t="s">
        <v>1068</v>
      </c>
      <c r="C398" t="s">
        <v>690</v>
      </c>
      <c r="D398" t="s">
        <v>10</v>
      </c>
    </row>
    <row r="399" spans="1:4" x14ac:dyDescent="0.35">
      <c r="A399" t="s">
        <v>1069</v>
      </c>
      <c r="B399" t="s">
        <v>1070</v>
      </c>
      <c r="C399" t="s">
        <v>1049</v>
      </c>
      <c r="D399" t="s">
        <v>10</v>
      </c>
    </row>
    <row r="400" spans="1:4" x14ac:dyDescent="0.35">
      <c r="A400" t="s">
        <v>1071</v>
      </c>
      <c r="B400" t="s">
        <v>1072</v>
      </c>
      <c r="C400" t="s">
        <v>1049</v>
      </c>
      <c r="D400" t="s">
        <v>10</v>
      </c>
    </row>
    <row r="401" spans="1:4" x14ac:dyDescent="0.35">
      <c r="A401" t="s">
        <v>1073</v>
      </c>
      <c r="B401" t="s">
        <v>1074</v>
      </c>
      <c r="C401" t="s">
        <v>1049</v>
      </c>
      <c r="D401" t="s">
        <v>10</v>
      </c>
    </row>
    <row r="402" spans="1:4" x14ac:dyDescent="0.35">
      <c r="A402" t="s">
        <v>1075</v>
      </c>
      <c r="B402" t="s">
        <v>1076</v>
      </c>
      <c r="C402" t="s">
        <v>1077</v>
      </c>
      <c r="D402" t="s">
        <v>10</v>
      </c>
    </row>
    <row r="403" spans="1:4" x14ac:dyDescent="0.35">
      <c r="A403" t="s">
        <v>1078</v>
      </c>
      <c r="B403" t="s">
        <v>1079</v>
      </c>
      <c r="C403" t="s">
        <v>1080</v>
      </c>
      <c r="D403" t="s">
        <v>10</v>
      </c>
    </row>
    <row r="404" spans="1:4" x14ac:dyDescent="0.35">
      <c r="A404" t="s">
        <v>1081</v>
      </c>
      <c r="B404" t="s">
        <v>1082</v>
      </c>
      <c r="C404" t="s">
        <v>1080</v>
      </c>
      <c r="D404" t="s">
        <v>10</v>
      </c>
    </row>
    <row r="405" spans="1:4" x14ac:dyDescent="0.35">
      <c r="A405" t="s">
        <v>1083</v>
      </c>
      <c r="B405" t="s">
        <v>1084</v>
      </c>
      <c r="C405" t="s">
        <v>1085</v>
      </c>
      <c r="D405" t="s">
        <v>10</v>
      </c>
    </row>
    <row r="406" spans="1:4" x14ac:dyDescent="0.35">
      <c r="A406" t="s">
        <v>1086</v>
      </c>
      <c r="B406" t="s">
        <v>1087</v>
      </c>
      <c r="C406" t="s">
        <v>631</v>
      </c>
      <c r="D406" t="s">
        <v>10</v>
      </c>
    </row>
    <row r="407" spans="1:4" x14ac:dyDescent="0.35">
      <c r="A407" t="s">
        <v>1088</v>
      </c>
      <c r="B407" t="s">
        <v>1089</v>
      </c>
      <c r="C407" t="s">
        <v>517</v>
      </c>
      <c r="D407" t="s">
        <v>10</v>
      </c>
    </row>
    <row r="408" spans="1:4" x14ac:dyDescent="0.35">
      <c r="A408" t="s">
        <v>1090</v>
      </c>
      <c r="B408" t="s">
        <v>1091</v>
      </c>
      <c r="C408" t="s">
        <v>1092</v>
      </c>
      <c r="D408" t="s">
        <v>10</v>
      </c>
    </row>
    <row r="409" spans="1:4" x14ac:dyDescent="0.35">
      <c r="A409" t="s">
        <v>1093</v>
      </c>
      <c r="B409" t="s">
        <v>1094</v>
      </c>
      <c r="C409" t="s">
        <v>1092</v>
      </c>
      <c r="D409" t="s">
        <v>10</v>
      </c>
    </row>
    <row r="410" spans="1:4" x14ac:dyDescent="0.35">
      <c r="A410" t="s">
        <v>1095</v>
      </c>
      <c r="B410" t="s">
        <v>1096</v>
      </c>
      <c r="C410" t="s">
        <v>1092</v>
      </c>
      <c r="D410" t="s">
        <v>10</v>
      </c>
    </row>
    <row r="411" spans="1:4" x14ac:dyDescent="0.35">
      <c r="A411" t="s">
        <v>1097</v>
      </c>
      <c r="B411" t="s">
        <v>1098</v>
      </c>
      <c r="C411" t="s">
        <v>481</v>
      </c>
      <c r="D411" t="s">
        <v>10</v>
      </c>
    </row>
    <row r="412" spans="1:4" x14ac:dyDescent="0.35">
      <c r="A412" t="s">
        <v>1099</v>
      </c>
      <c r="B412" t="s">
        <v>1100</v>
      </c>
      <c r="C412" t="s">
        <v>1101</v>
      </c>
      <c r="D412" t="s">
        <v>10</v>
      </c>
    </row>
    <row r="413" spans="1:4" x14ac:dyDescent="0.35">
      <c r="A413" t="s">
        <v>1102</v>
      </c>
      <c r="B413" t="s">
        <v>1103</v>
      </c>
      <c r="C413" t="s">
        <v>1104</v>
      </c>
      <c r="D413" t="s">
        <v>10</v>
      </c>
    </row>
    <row r="414" spans="1:4" x14ac:dyDescent="0.35">
      <c r="A414" t="s">
        <v>1105</v>
      </c>
      <c r="B414" t="s">
        <v>1106</v>
      </c>
      <c r="C414" t="s">
        <v>1107</v>
      </c>
      <c r="D414" t="s">
        <v>10</v>
      </c>
    </row>
    <row r="415" spans="1:4" x14ac:dyDescent="0.35">
      <c r="A415" t="s">
        <v>1108</v>
      </c>
      <c r="B415" t="s">
        <v>1109</v>
      </c>
      <c r="C415" t="s">
        <v>1110</v>
      </c>
      <c r="D415" t="s">
        <v>10</v>
      </c>
    </row>
    <row r="416" spans="1:4" x14ac:dyDescent="0.35">
      <c r="A416" t="s">
        <v>1111</v>
      </c>
      <c r="B416" t="s">
        <v>1112</v>
      </c>
      <c r="C416" t="s">
        <v>1113</v>
      </c>
      <c r="D416" t="s">
        <v>10</v>
      </c>
    </row>
    <row r="417" spans="1:4" x14ac:dyDescent="0.35">
      <c r="A417" t="s">
        <v>1114</v>
      </c>
      <c r="B417" t="s">
        <v>1115</v>
      </c>
      <c r="C417" t="s">
        <v>1049</v>
      </c>
      <c r="D417" t="s">
        <v>10</v>
      </c>
    </row>
    <row r="418" spans="1:4" x14ac:dyDescent="0.35">
      <c r="A418" t="s">
        <v>1116</v>
      </c>
      <c r="B418" t="s">
        <v>1117</v>
      </c>
      <c r="C418" t="s">
        <v>1049</v>
      </c>
      <c r="D418" t="s">
        <v>10</v>
      </c>
    </row>
    <row r="419" spans="1:4" x14ac:dyDescent="0.35">
      <c r="A419" t="s">
        <v>1118</v>
      </c>
      <c r="B419" t="s">
        <v>1119</v>
      </c>
      <c r="C419" t="s">
        <v>1120</v>
      </c>
      <c r="D419" t="s">
        <v>10</v>
      </c>
    </row>
    <row r="420" spans="1:4" x14ac:dyDescent="0.35">
      <c r="A420" t="s">
        <v>1121</v>
      </c>
      <c r="B420" t="s">
        <v>1122</v>
      </c>
      <c r="C420" t="s">
        <v>1123</v>
      </c>
      <c r="D420" t="s">
        <v>10</v>
      </c>
    </row>
    <row r="421" spans="1:4" x14ac:dyDescent="0.35">
      <c r="A421" t="s">
        <v>1124</v>
      </c>
      <c r="B421" t="s">
        <v>1125</v>
      </c>
      <c r="C421" t="s">
        <v>1126</v>
      </c>
      <c r="D421" t="s">
        <v>10</v>
      </c>
    </row>
    <row r="422" spans="1:4" x14ac:dyDescent="0.35">
      <c r="A422" t="s">
        <v>1127</v>
      </c>
      <c r="B422" t="s">
        <v>1128</v>
      </c>
      <c r="C422" t="s">
        <v>209</v>
      </c>
      <c r="D422" t="s">
        <v>10</v>
      </c>
    </row>
    <row r="423" spans="1:4" x14ac:dyDescent="0.35">
      <c r="A423" t="s">
        <v>1129</v>
      </c>
      <c r="B423" t="s">
        <v>1130</v>
      </c>
      <c r="C423" t="s">
        <v>17</v>
      </c>
      <c r="D423" t="s">
        <v>10</v>
      </c>
    </row>
    <row r="424" spans="1:4" x14ac:dyDescent="0.35">
      <c r="A424" t="s">
        <v>1131</v>
      </c>
      <c r="B424" t="s">
        <v>1132</v>
      </c>
      <c r="C424" t="s">
        <v>1133</v>
      </c>
      <c r="D424" t="s">
        <v>10</v>
      </c>
    </row>
    <row r="425" spans="1:4" x14ac:dyDescent="0.35">
      <c r="A425" t="s">
        <v>1134</v>
      </c>
      <c r="B425" t="s">
        <v>1135</v>
      </c>
      <c r="C425" t="s">
        <v>1136</v>
      </c>
      <c r="D425" t="s">
        <v>10</v>
      </c>
    </row>
    <row r="426" spans="1:4" x14ac:dyDescent="0.35">
      <c r="A426" t="s">
        <v>1137</v>
      </c>
      <c r="B426" t="s">
        <v>1138</v>
      </c>
      <c r="C426" t="s">
        <v>1139</v>
      </c>
      <c r="D426" t="s">
        <v>10</v>
      </c>
    </row>
    <row r="427" spans="1:4" x14ac:dyDescent="0.35">
      <c r="A427" t="s">
        <v>1140</v>
      </c>
      <c r="B427" t="s">
        <v>1141</v>
      </c>
      <c r="C427" t="s">
        <v>1142</v>
      </c>
      <c r="D427" t="s">
        <v>10</v>
      </c>
    </row>
    <row r="428" spans="1:4" x14ac:dyDescent="0.35">
      <c r="A428" t="s">
        <v>1143</v>
      </c>
      <c r="B428" t="s">
        <v>1144</v>
      </c>
      <c r="C428" t="s">
        <v>1133</v>
      </c>
      <c r="D428" t="s">
        <v>10</v>
      </c>
    </row>
    <row r="429" spans="1:4" x14ac:dyDescent="0.35">
      <c r="A429" t="s">
        <v>1145</v>
      </c>
      <c r="B429" t="s">
        <v>1146</v>
      </c>
      <c r="C429" t="s">
        <v>1133</v>
      </c>
      <c r="D429" t="s">
        <v>10</v>
      </c>
    </row>
    <row r="430" spans="1:4" x14ac:dyDescent="0.35">
      <c r="A430" t="s">
        <v>1147</v>
      </c>
      <c r="B430" t="s">
        <v>1148</v>
      </c>
      <c r="C430" t="s">
        <v>1149</v>
      </c>
      <c r="D430" t="s">
        <v>10</v>
      </c>
    </row>
    <row r="431" spans="1:4" x14ac:dyDescent="0.35">
      <c r="A431" t="s">
        <v>1150</v>
      </c>
      <c r="B431" t="s">
        <v>1151</v>
      </c>
      <c r="C431" t="s">
        <v>1133</v>
      </c>
      <c r="D431" t="s">
        <v>10</v>
      </c>
    </row>
    <row r="432" spans="1:4" x14ac:dyDescent="0.35">
      <c r="A432" t="s">
        <v>1152</v>
      </c>
      <c r="B432" t="s">
        <v>1153</v>
      </c>
      <c r="C432" t="s">
        <v>1133</v>
      </c>
      <c r="D432" t="s">
        <v>10</v>
      </c>
    </row>
    <row r="433" spans="1:4" x14ac:dyDescent="0.35">
      <c r="A433" t="s">
        <v>1154</v>
      </c>
      <c r="B433" t="s">
        <v>1155</v>
      </c>
      <c r="C433" t="s">
        <v>1156</v>
      </c>
      <c r="D433" t="s">
        <v>10</v>
      </c>
    </row>
    <row r="434" spans="1:4" x14ac:dyDescent="0.35">
      <c r="A434" t="s">
        <v>1157</v>
      </c>
      <c r="B434" t="s">
        <v>1158</v>
      </c>
      <c r="C434" t="s">
        <v>1159</v>
      </c>
      <c r="D434" t="s">
        <v>10</v>
      </c>
    </row>
    <row r="435" spans="1:4" x14ac:dyDescent="0.35">
      <c r="A435" t="s">
        <v>1160</v>
      </c>
      <c r="B435" t="s">
        <v>1161</v>
      </c>
      <c r="C435" t="s">
        <v>1142</v>
      </c>
      <c r="D435" t="s">
        <v>10</v>
      </c>
    </row>
    <row r="436" spans="1:4" x14ac:dyDescent="0.35">
      <c r="A436" t="s">
        <v>1162</v>
      </c>
      <c r="B436" t="s">
        <v>1163</v>
      </c>
      <c r="C436" t="s">
        <v>1164</v>
      </c>
      <c r="D436" t="s">
        <v>10</v>
      </c>
    </row>
    <row r="437" spans="1:4" x14ac:dyDescent="0.35">
      <c r="A437" t="s">
        <v>1165</v>
      </c>
      <c r="B437" t="s">
        <v>1166</v>
      </c>
      <c r="C437" t="s">
        <v>1167</v>
      </c>
      <c r="D437" t="s">
        <v>10</v>
      </c>
    </row>
    <row r="438" spans="1:4" x14ac:dyDescent="0.35">
      <c r="A438" t="s">
        <v>1168</v>
      </c>
      <c r="B438" t="s">
        <v>1169</v>
      </c>
      <c r="C438" t="s">
        <v>1170</v>
      </c>
      <c r="D438" t="s">
        <v>10</v>
      </c>
    </row>
    <row r="439" spans="1:4" x14ac:dyDescent="0.35">
      <c r="A439" t="s">
        <v>1171</v>
      </c>
      <c r="B439" t="s">
        <v>1172</v>
      </c>
      <c r="C439" t="s">
        <v>1133</v>
      </c>
      <c r="D439" t="s">
        <v>10</v>
      </c>
    </row>
    <row r="440" spans="1:4" x14ac:dyDescent="0.35">
      <c r="A440" t="s">
        <v>1173</v>
      </c>
      <c r="B440" t="s">
        <v>1174</v>
      </c>
      <c r="C440" t="s">
        <v>1175</v>
      </c>
      <c r="D440" t="s">
        <v>10</v>
      </c>
    </row>
    <row r="441" spans="1:4" x14ac:dyDescent="0.35">
      <c r="A441" t="s">
        <v>1176</v>
      </c>
      <c r="B441" t="s">
        <v>1177</v>
      </c>
      <c r="C441" t="s">
        <v>1139</v>
      </c>
      <c r="D441" t="s">
        <v>10</v>
      </c>
    </row>
    <row r="442" spans="1:4" x14ac:dyDescent="0.35">
      <c r="A442" t="s">
        <v>1178</v>
      </c>
      <c r="B442" t="s">
        <v>1179</v>
      </c>
      <c r="C442" t="s">
        <v>1180</v>
      </c>
      <c r="D442" t="s">
        <v>10</v>
      </c>
    </row>
    <row r="443" spans="1:4" x14ac:dyDescent="0.35">
      <c r="A443" t="s">
        <v>1181</v>
      </c>
      <c r="B443" t="s">
        <v>1182</v>
      </c>
      <c r="C443" t="s">
        <v>1183</v>
      </c>
      <c r="D443" t="s">
        <v>10</v>
      </c>
    </row>
    <row r="444" spans="1:4" x14ac:dyDescent="0.35">
      <c r="A444" t="s">
        <v>1184</v>
      </c>
      <c r="B444" t="s">
        <v>1185</v>
      </c>
      <c r="C444" t="s">
        <v>1186</v>
      </c>
      <c r="D444" t="s">
        <v>10</v>
      </c>
    </row>
    <row r="445" spans="1:4" x14ac:dyDescent="0.35">
      <c r="A445" t="s">
        <v>1187</v>
      </c>
      <c r="B445" t="s">
        <v>1188</v>
      </c>
      <c r="C445" t="s">
        <v>1189</v>
      </c>
      <c r="D445" t="s">
        <v>10</v>
      </c>
    </row>
    <row r="446" spans="1:4" x14ac:dyDescent="0.35">
      <c r="A446" t="s">
        <v>1190</v>
      </c>
      <c r="B446" t="s">
        <v>1191</v>
      </c>
      <c r="C446" t="s">
        <v>1192</v>
      </c>
      <c r="D446" t="s">
        <v>10</v>
      </c>
    </row>
    <row r="447" spans="1:4" x14ac:dyDescent="0.35">
      <c r="A447" t="s">
        <v>1193</v>
      </c>
      <c r="B447" t="s">
        <v>1194</v>
      </c>
      <c r="C447" t="s">
        <v>1195</v>
      </c>
      <c r="D447" t="s">
        <v>10</v>
      </c>
    </row>
    <row r="448" spans="1:4" x14ac:dyDescent="0.35">
      <c r="A448" t="s">
        <v>1196</v>
      </c>
      <c r="B448" t="s">
        <v>1197</v>
      </c>
      <c r="C448" t="s">
        <v>1195</v>
      </c>
      <c r="D448" t="s">
        <v>10</v>
      </c>
    </row>
    <row r="449" spans="1:4" x14ac:dyDescent="0.35">
      <c r="A449" t="s">
        <v>1198</v>
      </c>
      <c r="B449" t="s">
        <v>1199</v>
      </c>
      <c r="C449" t="s">
        <v>1200</v>
      </c>
      <c r="D449" t="s">
        <v>10</v>
      </c>
    </row>
    <row r="450" spans="1:4" x14ac:dyDescent="0.35">
      <c r="A450" t="s">
        <v>1201</v>
      </c>
      <c r="B450" t="s">
        <v>1202</v>
      </c>
      <c r="C450" t="s">
        <v>1203</v>
      </c>
      <c r="D450" t="s">
        <v>10</v>
      </c>
    </row>
    <row r="451" spans="1:4" x14ac:dyDescent="0.35">
      <c r="A451" t="s">
        <v>1204</v>
      </c>
      <c r="B451" t="s">
        <v>1205</v>
      </c>
      <c r="C451" t="s">
        <v>1206</v>
      </c>
      <c r="D451" t="s">
        <v>10</v>
      </c>
    </row>
    <row r="452" spans="1:4" x14ac:dyDescent="0.35">
      <c r="A452" t="s">
        <v>1207</v>
      </c>
      <c r="B452" t="s">
        <v>1208</v>
      </c>
      <c r="C452" t="s">
        <v>1209</v>
      </c>
      <c r="D452" t="s">
        <v>10</v>
      </c>
    </row>
    <row r="453" spans="1:4" x14ac:dyDescent="0.35">
      <c r="A453" t="s">
        <v>1210</v>
      </c>
      <c r="B453" t="s">
        <v>1211</v>
      </c>
      <c r="C453" t="s">
        <v>1149</v>
      </c>
      <c r="D453" t="s">
        <v>10</v>
      </c>
    </row>
    <row r="454" spans="1:4" x14ac:dyDescent="0.35">
      <c r="A454" t="s">
        <v>1212</v>
      </c>
      <c r="B454" t="s">
        <v>1213</v>
      </c>
      <c r="C454" t="s">
        <v>1192</v>
      </c>
      <c r="D454" t="s">
        <v>10</v>
      </c>
    </row>
    <row r="455" spans="1:4" x14ac:dyDescent="0.35">
      <c r="A455" t="s">
        <v>1214</v>
      </c>
      <c r="B455" t="s">
        <v>1215</v>
      </c>
      <c r="C455" t="s">
        <v>1209</v>
      </c>
      <c r="D455" t="s">
        <v>10</v>
      </c>
    </row>
    <row r="456" spans="1:4" x14ac:dyDescent="0.35">
      <c r="A456" t="s">
        <v>1216</v>
      </c>
      <c r="B456" t="s">
        <v>1217</v>
      </c>
      <c r="C456" t="s">
        <v>1218</v>
      </c>
      <c r="D456" t="s">
        <v>10</v>
      </c>
    </row>
    <row r="457" spans="1:4" x14ac:dyDescent="0.35">
      <c r="A457" t="s">
        <v>1219</v>
      </c>
      <c r="B457" t="s">
        <v>1220</v>
      </c>
      <c r="C457" t="s">
        <v>1156</v>
      </c>
      <c r="D457" t="s">
        <v>10</v>
      </c>
    </row>
    <row r="458" spans="1:4" x14ac:dyDescent="0.35">
      <c r="A458" t="s">
        <v>1221</v>
      </c>
      <c r="B458" t="s">
        <v>1222</v>
      </c>
      <c r="C458" t="s">
        <v>1223</v>
      </c>
      <c r="D458" t="s">
        <v>10</v>
      </c>
    </row>
    <row r="459" spans="1:4" x14ac:dyDescent="0.35">
      <c r="A459" t="s">
        <v>1224</v>
      </c>
      <c r="B459" t="s">
        <v>1225</v>
      </c>
      <c r="C459" t="s">
        <v>1164</v>
      </c>
      <c r="D459" t="s">
        <v>10</v>
      </c>
    </row>
    <row r="460" spans="1:4" x14ac:dyDescent="0.35">
      <c r="A460" t="s">
        <v>1226</v>
      </c>
      <c r="B460" t="s">
        <v>1227</v>
      </c>
      <c r="C460" t="s">
        <v>17</v>
      </c>
      <c r="D460" t="s">
        <v>10</v>
      </c>
    </row>
    <row r="461" spans="1:4" x14ac:dyDescent="0.35">
      <c r="A461" t="s">
        <v>1228</v>
      </c>
      <c r="B461" t="s">
        <v>1229</v>
      </c>
      <c r="C461" t="s">
        <v>1230</v>
      </c>
      <c r="D461" t="s">
        <v>10</v>
      </c>
    </row>
    <row r="462" spans="1:4" x14ac:dyDescent="0.35">
      <c r="A462" t="s">
        <v>1231</v>
      </c>
      <c r="B462" t="s">
        <v>1232</v>
      </c>
      <c r="C462" t="s">
        <v>1233</v>
      </c>
      <c r="D462" t="s">
        <v>10</v>
      </c>
    </row>
    <row r="463" spans="1:4" x14ac:dyDescent="0.35">
      <c r="A463" t="s">
        <v>1234</v>
      </c>
      <c r="B463" t="s">
        <v>1235</v>
      </c>
      <c r="C463" t="s">
        <v>1236</v>
      </c>
      <c r="D463" t="s">
        <v>10</v>
      </c>
    </row>
    <row r="464" spans="1:4" x14ac:dyDescent="0.35">
      <c r="A464" t="s">
        <v>1237</v>
      </c>
      <c r="B464" t="s">
        <v>1238</v>
      </c>
      <c r="C464" t="s">
        <v>1236</v>
      </c>
      <c r="D464" t="s">
        <v>10</v>
      </c>
    </row>
    <row r="465" spans="1:4" x14ac:dyDescent="0.35">
      <c r="A465" t="s">
        <v>1239</v>
      </c>
      <c r="B465" t="s">
        <v>1240</v>
      </c>
      <c r="C465" t="s">
        <v>1241</v>
      </c>
      <c r="D465" t="s">
        <v>10</v>
      </c>
    </row>
    <row r="466" spans="1:4" x14ac:dyDescent="0.35">
      <c r="A466" t="s">
        <v>1242</v>
      </c>
      <c r="B466" t="s">
        <v>1243</v>
      </c>
      <c r="C466" t="s">
        <v>1244</v>
      </c>
      <c r="D466" t="s">
        <v>10</v>
      </c>
    </row>
    <row r="467" spans="1:4" x14ac:dyDescent="0.35">
      <c r="A467" t="s">
        <v>1245</v>
      </c>
      <c r="B467" t="s">
        <v>1246</v>
      </c>
      <c r="C467" t="s">
        <v>1247</v>
      </c>
      <c r="D467" t="s">
        <v>10</v>
      </c>
    </row>
    <row r="468" spans="1:4" x14ac:dyDescent="0.35">
      <c r="A468" t="s">
        <v>1248</v>
      </c>
      <c r="B468" t="s">
        <v>1249</v>
      </c>
      <c r="C468" t="s">
        <v>1250</v>
      </c>
      <c r="D468" t="s">
        <v>10</v>
      </c>
    </row>
    <row r="469" spans="1:4" x14ac:dyDescent="0.35">
      <c r="A469" t="s">
        <v>1251</v>
      </c>
      <c r="B469" t="s">
        <v>1252</v>
      </c>
      <c r="C469" t="s">
        <v>1164</v>
      </c>
      <c r="D469" t="s">
        <v>10</v>
      </c>
    </row>
    <row r="470" spans="1:4" x14ac:dyDescent="0.35">
      <c r="A470" t="s">
        <v>1253</v>
      </c>
      <c r="B470" t="s">
        <v>1254</v>
      </c>
      <c r="C470" t="s">
        <v>1255</v>
      </c>
      <c r="D470" t="s">
        <v>10</v>
      </c>
    </row>
    <row r="471" spans="1:4" x14ac:dyDescent="0.35">
      <c r="A471" t="s">
        <v>1256</v>
      </c>
      <c r="B471" t="s">
        <v>1257</v>
      </c>
      <c r="C471" t="s">
        <v>1258</v>
      </c>
      <c r="D471" t="s">
        <v>10</v>
      </c>
    </row>
    <row r="472" spans="1:4" x14ac:dyDescent="0.35">
      <c r="A472" t="s">
        <v>1259</v>
      </c>
      <c r="B472" t="s">
        <v>1260</v>
      </c>
      <c r="C472" t="s">
        <v>1261</v>
      </c>
      <c r="D472" t="s">
        <v>10</v>
      </c>
    </row>
    <row r="473" spans="1:4" x14ac:dyDescent="0.35">
      <c r="A473" t="s">
        <v>1262</v>
      </c>
      <c r="B473" t="s">
        <v>1263</v>
      </c>
      <c r="C473" t="s">
        <v>1189</v>
      </c>
      <c r="D473" t="s">
        <v>10</v>
      </c>
    </row>
    <row r="474" spans="1:4" x14ac:dyDescent="0.35">
      <c r="A474" t="s">
        <v>1264</v>
      </c>
      <c r="B474" t="s">
        <v>1265</v>
      </c>
      <c r="C474" t="s">
        <v>874</v>
      </c>
      <c r="D474" t="s">
        <v>10</v>
      </c>
    </row>
    <row r="475" spans="1:4" x14ac:dyDescent="0.35">
      <c r="A475" t="s">
        <v>1266</v>
      </c>
      <c r="B475" t="s">
        <v>1267</v>
      </c>
      <c r="C475" t="s">
        <v>1268</v>
      </c>
      <c r="D475" t="s">
        <v>10</v>
      </c>
    </row>
    <row r="476" spans="1:4" x14ac:dyDescent="0.35">
      <c r="A476" t="s">
        <v>1269</v>
      </c>
      <c r="B476" t="s">
        <v>1270</v>
      </c>
      <c r="C476" t="s">
        <v>517</v>
      </c>
      <c r="D476" t="s">
        <v>10</v>
      </c>
    </row>
    <row r="477" spans="1:4" x14ac:dyDescent="0.35">
      <c r="A477" t="s">
        <v>1271</v>
      </c>
      <c r="B477" t="s">
        <v>1272</v>
      </c>
      <c r="C477" t="s">
        <v>1273</v>
      </c>
      <c r="D477" t="s">
        <v>10</v>
      </c>
    </row>
    <row r="478" spans="1:4" x14ac:dyDescent="0.35">
      <c r="A478" t="s">
        <v>1274</v>
      </c>
      <c r="B478" t="s">
        <v>1275</v>
      </c>
      <c r="C478" t="s">
        <v>1223</v>
      </c>
      <c r="D478" t="s">
        <v>10</v>
      </c>
    </row>
    <row r="479" spans="1:4" x14ac:dyDescent="0.35">
      <c r="A479" t="s">
        <v>1276</v>
      </c>
      <c r="B479" t="s">
        <v>1277</v>
      </c>
      <c r="C479" t="s">
        <v>1278</v>
      </c>
      <c r="D479" t="s">
        <v>10</v>
      </c>
    </row>
    <row r="480" spans="1:4" x14ac:dyDescent="0.35">
      <c r="A480" t="s">
        <v>1279</v>
      </c>
      <c r="B480" t="s">
        <v>1280</v>
      </c>
      <c r="C480" t="s">
        <v>1164</v>
      </c>
      <c r="D480" t="s">
        <v>10</v>
      </c>
    </row>
    <row r="481" spans="1:4" x14ac:dyDescent="0.35">
      <c r="A481" t="s">
        <v>1281</v>
      </c>
      <c r="B481" t="s">
        <v>1282</v>
      </c>
      <c r="C481" t="s">
        <v>1283</v>
      </c>
      <c r="D481" t="s">
        <v>10</v>
      </c>
    </row>
    <row r="482" spans="1:4" x14ac:dyDescent="0.35">
      <c r="A482" t="s">
        <v>1284</v>
      </c>
      <c r="B482" t="s">
        <v>1285</v>
      </c>
      <c r="C482" t="s">
        <v>1286</v>
      </c>
      <c r="D482" t="s">
        <v>10</v>
      </c>
    </row>
    <row r="483" spans="1:4" x14ac:dyDescent="0.35">
      <c r="A483" t="s">
        <v>1287</v>
      </c>
      <c r="B483" t="s">
        <v>1288</v>
      </c>
      <c r="C483" t="s">
        <v>1289</v>
      </c>
      <c r="D483" t="s">
        <v>10</v>
      </c>
    </row>
    <row r="484" spans="1:4" x14ac:dyDescent="0.35">
      <c r="A484" t="s">
        <v>1290</v>
      </c>
      <c r="B484" t="s">
        <v>1291</v>
      </c>
      <c r="C484" t="s">
        <v>1292</v>
      </c>
      <c r="D484" t="s">
        <v>10</v>
      </c>
    </row>
    <row r="485" spans="1:4" x14ac:dyDescent="0.35">
      <c r="A485" t="s">
        <v>1293</v>
      </c>
      <c r="B485" t="s">
        <v>1294</v>
      </c>
      <c r="C485" t="s">
        <v>293</v>
      </c>
      <c r="D485" t="s">
        <v>10</v>
      </c>
    </row>
    <row r="486" spans="1:4" x14ac:dyDescent="0.35">
      <c r="A486" t="s">
        <v>1295</v>
      </c>
      <c r="B486" t="s">
        <v>1296</v>
      </c>
      <c r="C486" t="s">
        <v>1297</v>
      </c>
      <c r="D486" t="s">
        <v>10</v>
      </c>
    </row>
    <row r="487" spans="1:4" x14ac:dyDescent="0.35">
      <c r="A487" t="s">
        <v>1298</v>
      </c>
      <c r="B487" t="s">
        <v>1202</v>
      </c>
      <c r="C487" t="s">
        <v>1203</v>
      </c>
      <c r="D487" t="s">
        <v>10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4" customWidth="1"/>
    <col min="2" max="2" width="30" customWidth="1"/>
    <col min="3" max="3" width="18" customWidth="1"/>
    <col min="4" max="4" width="12" customWidth="1"/>
  </cols>
  <sheetData>
    <row r="1" spans="1:4" x14ac:dyDescent="0.35">
      <c r="A1" s="1" t="s">
        <v>1299</v>
      </c>
      <c r="B1" s="1" t="s">
        <v>1300</v>
      </c>
      <c r="C1" s="1" t="s">
        <v>1301</v>
      </c>
      <c r="D1" s="1" t="s">
        <v>8</v>
      </c>
    </row>
    <row r="2" spans="1:4" x14ac:dyDescent="0.35">
      <c r="A2">
        <v>1</v>
      </c>
      <c r="B2" t="s">
        <v>1302</v>
      </c>
      <c r="C2" t="s">
        <v>1303</v>
      </c>
      <c r="D2" t="s">
        <v>10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topLeftCell="C1" workbookViewId="0">
      <pane ySplit="1" topLeftCell="A2" activePane="bottomLeft" state="frozen"/>
      <selection pane="bottomLeft" activeCell="J5" sqref="J5"/>
    </sheetView>
  </sheetViews>
  <sheetFormatPr baseColWidth="10" defaultColWidth="8.7265625" defaultRowHeight="14.5" x14ac:dyDescent="0.35"/>
  <cols>
    <col min="1" max="2" width="14" customWidth="1"/>
    <col min="3" max="3" width="20" customWidth="1"/>
    <col min="4" max="4" width="14" customWidth="1"/>
    <col min="5" max="5" width="18" customWidth="1"/>
    <col min="6" max="6" width="25" customWidth="1"/>
    <col min="7" max="7" width="16" customWidth="1"/>
    <col min="8" max="8" width="18" customWidth="1"/>
    <col min="9" max="9" width="16" customWidth="1"/>
    <col min="10" max="10" width="25" customWidth="1"/>
    <col min="11" max="11" width="40" customWidth="1"/>
  </cols>
  <sheetData>
    <row r="1" spans="1:11" x14ac:dyDescent="0.35">
      <c r="A1" s="1" t="s">
        <v>1304</v>
      </c>
      <c r="B1" s="1" t="s">
        <v>1305</v>
      </c>
      <c r="C1" s="1" t="s">
        <v>1306</v>
      </c>
      <c r="D1" s="1" t="s">
        <v>1307</v>
      </c>
      <c r="E1" s="1" t="s">
        <v>6</v>
      </c>
      <c r="F1" s="1" t="s">
        <v>14</v>
      </c>
      <c r="G1" s="1" t="s">
        <v>1308</v>
      </c>
      <c r="H1" s="1" t="s">
        <v>1309</v>
      </c>
      <c r="I1" s="1" t="s">
        <v>1310</v>
      </c>
      <c r="J1" s="1" t="s">
        <v>1311</v>
      </c>
      <c r="K1" s="1" t="s">
        <v>1312</v>
      </c>
    </row>
    <row r="2" spans="1:11" x14ac:dyDescent="0.35">
      <c r="A2">
        <v>1</v>
      </c>
      <c r="B2" s="6">
        <v>46267</v>
      </c>
      <c r="C2">
        <v>1795213</v>
      </c>
      <c r="D2">
        <v>10</v>
      </c>
      <c r="E2">
        <v>1</v>
      </c>
      <c r="F2">
        <v>1</v>
      </c>
      <c r="G2">
        <v>50102611111</v>
      </c>
      <c r="H2">
        <v>1</v>
      </c>
      <c r="I2" t="s">
        <v>1392</v>
      </c>
      <c r="J2" t="s">
        <v>1393</v>
      </c>
    </row>
    <row r="3" spans="1:11" x14ac:dyDescent="0.35">
      <c r="B3" s="6"/>
    </row>
  </sheetData>
  <autoFilter ref="A1:K1" xr:uid="{00000000-0009-0000-0000-000003000000}"/>
  <dataValidations count="2">
    <dataValidation type="decimal" operator="greaterThan" allowBlank="1" showInputMessage="1" showErrorMessage="1" sqref="D1:D1048576" xr:uid="{4E2E63C9-C82F-4FF2-829D-521882E9F4BC}">
      <formula1>0</formula1>
    </dataValidation>
    <dataValidation type="date" operator="greaterThan" allowBlank="1" showInputMessage="1" showErrorMessage="1" sqref="B1:B1048576" xr:uid="{0D3E5290-0D1B-42EE-BAD2-91724CEDAAFE}">
      <formula1>43831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E0A3A40-827E-4402-945B-595EE0F9AA5E}">
          <x14:formula1>
            <xm:f>USUARIOS!$B$2:$B$1000</xm:f>
          </x14:formula1>
          <xm:sqref>J1:J1048576</xm:sqref>
        </x14:dataValidation>
        <x14:dataValidation type="list" allowBlank="1" showInputMessage="1" showErrorMessage="1" xr:uid="{8938CF55-615C-4864-A651-33F693F74838}">
          <x14:formula1>
            <xm:f>MATERIALES!$B$2:$B$998</xm:f>
          </x14:formula1>
          <xm:sqref>C2:C1048576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>
      <pane ySplit="1" topLeftCell="A2" activePane="bottomLeft" state="frozen"/>
      <selection pane="bottomLeft" activeCell="K10" sqref="K10"/>
    </sheetView>
  </sheetViews>
  <sheetFormatPr baseColWidth="10" defaultColWidth="8.7265625" defaultRowHeight="14.5" x14ac:dyDescent="0.35"/>
  <cols>
    <col min="1" max="2" width="14" customWidth="1"/>
    <col min="3" max="3" width="20" customWidth="1"/>
    <col min="4" max="4" width="14" customWidth="1"/>
    <col min="5" max="5" width="20" customWidth="1"/>
    <col min="6" max="6" width="14" customWidth="1"/>
    <col min="7" max="7" width="20" customWidth="1"/>
    <col min="8" max="8" width="18" customWidth="1"/>
    <col min="9" max="9" width="16" customWidth="1"/>
    <col min="10" max="11" width="25" customWidth="1"/>
    <col min="12" max="12" width="40" customWidth="1"/>
  </cols>
  <sheetData>
    <row r="1" spans="1:12" x14ac:dyDescent="0.35">
      <c r="A1" s="1" t="s">
        <v>1313</v>
      </c>
      <c r="B1" s="1" t="s">
        <v>1305</v>
      </c>
      <c r="C1" s="1" t="s">
        <v>1306</v>
      </c>
      <c r="D1" s="1" t="s">
        <v>1307</v>
      </c>
      <c r="E1" s="1" t="s">
        <v>12</v>
      </c>
      <c r="F1" s="1" t="s">
        <v>1314</v>
      </c>
      <c r="G1" s="1" t="s">
        <v>1315</v>
      </c>
      <c r="H1" s="1" t="s">
        <v>1316</v>
      </c>
      <c r="I1" s="1" t="s">
        <v>1308</v>
      </c>
      <c r="J1" s="1" t="s">
        <v>1317</v>
      </c>
      <c r="K1" s="1" t="s">
        <v>1311</v>
      </c>
      <c r="L1" s="1" t="s">
        <v>1312</v>
      </c>
    </row>
    <row r="2" spans="1:12" x14ac:dyDescent="0.35">
      <c r="A2">
        <v>1</v>
      </c>
      <c r="B2" s="6">
        <v>46267</v>
      </c>
      <c r="C2">
        <v>1795213</v>
      </c>
      <c r="D2">
        <v>3</v>
      </c>
      <c r="E2" t="s">
        <v>62</v>
      </c>
      <c r="F2">
        <v>2</v>
      </c>
      <c r="G2" t="s">
        <v>1394</v>
      </c>
      <c r="H2" t="s">
        <v>1395</v>
      </c>
      <c r="I2">
        <v>5010261111</v>
      </c>
      <c r="J2" t="s">
        <v>1396</v>
      </c>
      <c r="K2" t="s">
        <v>1302</v>
      </c>
    </row>
  </sheetData>
  <autoFilter ref="A1:L1" xr:uid="{00000000-0009-0000-0000-000004000000}"/>
  <dataValidations count="1">
    <dataValidation type="decimal" operator="greaterThan" allowBlank="1" showInputMessage="1" showErrorMessage="1" sqref="D1:D1048576" xr:uid="{78449EB7-4579-47E7-8F8A-2EA258045C34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6CAD7BC-6A26-4889-AE3E-CB089762AB1E}">
          <x14:formula1>
            <xm:f>HACIENDAS!$A$2:$A$1000</xm:f>
          </x14:formula1>
          <xm:sqref>E1:E1048576</xm:sqref>
        </x14:dataValidation>
        <x14:dataValidation type="list" allowBlank="1" showInputMessage="1" showErrorMessage="1" xr:uid="{686E4372-11D4-4425-B0D4-5A40CD87C1F3}">
          <x14:formula1>
            <xm:f>USUARIOS!$B$2:$B$1000</xm:f>
          </x14:formula1>
          <xm:sqref>K1:K1048576</xm:sqref>
        </x14:dataValidation>
        <x14:dataValidation type="list" allowBlank="1" showInputMessage="1" showErrorMessage="1" xr:uid="{DE977B7B-8C72-4EB3-A007-B73F9A88D44F}">
          <x14:formula1>
            <xm:f>MATERIALES!$B$2:$B$998</xm:f>
          </x14:formula1>
          <xm:sqref>C1:C1048576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>
      <pane ySplit="1" topLeftCell="A2" activePane="bottomLeft" state="frozen"/>
      <selection pane="bottomLeft" activeCell="C14" sqref="C14"/>
    </sheetView>
  </sheetViews>
  <sheetFormatPr baseColWidth="10" defaultColWidth="8.7265625" defaultRowHeight="14.5" x14ac:dyDescent="0.35"/>
  <cols>
    <col min="1" max="2" width="14" customWidth="1"/>
    <col min="3" max="3" width="20" customWidth="1"/>
    <col min="4" max="4" width="18" customWidth="1"/>
    <col min="5" max="5" width="14" customWidth="1"/>
    <col min="6" max="6" width="35" customWidth="1"/>
    <col min="7" max="7" width="25" customWidth="1"/>
    <col min="8" max="8" width="40" customWidth="1"/>
  </cols>
  <sheetData>
    <row r="1" spans="1:8" x14ac:dyDescent="0.35">
      <c r="A1" s="1" t="s">
        <v>1318</v>
      </c>
      <c r="B1" s="1" t="s">
        <v>1305</v>
      </c>
      <c r="C1" s="1" t="s">
        <v>1306</v>
      </c>
      <c r="D1" s="1" t="s">
        <v>1319</v>
      </c>
      <c r="E1" s="1" t="s">
        <v>1307</v>
      </c>
      <c r="F1" s="1" t="s">
        <v>1320</v>
      </c>
      <c r="G1" s="1" t="s">
        <v>1311</v>
      </c>
      <c r="H1" s="1" t="s">
        <v>1312</v>
      </c>
    </row>
    <row r="2" spans="1:8" x14ac:dyDescent="0.35">
      <c r="A2">
        <v>1</v>
      </c>
      <c r="B2" s="6">
        <v>46267</v>
      </c>
      <c r="C2">
        <v>1795213</v>
      </c>
      <c r="D2" t="s">
        <v>1398</v>
      </c>
      <c r="E2">
        <v>2</v>
      </c>
      <c r="F2" t="s">
        <v>1397</v>
      </c>
      <c r="G2" t="s">
        <v>1302</v>
      </c>
    </row>
    <row r="3" spans="1:8" x14ac:dyDescent="0.35">
      <c r="B3" s="6"/>
    </row>
    <row r="4" spans="1:8" x14ac:dyDescent="0.35">
      <c r="B4" s="6"/>
    </row>
  </sheetData>
  <autoFilter ref="A1:H1" xr:uid="{00000000-0009-0000-0000-000005000000}"/>
  <dataValidations count="3">
    <dataValidation type="list" allowBlank="1" showInputMessage="1" showErrorMessage="1" sqref="D1 D1001:D1048576" xr:uid="{8914414A-3F69-4867-8A48-1469E6DF7D13}">
      <mc:AlternateContent xmlns:x12ac="http://schemas.microsoft.com/office/spreadsheetml/2011/1/ac" xmlns:mc="http://schemas.openxmlformats.org/markup-compatibility/2006">
        <mc:Choice Requires="x12ac">
          <x12ac:list>"ENTRADA,SALIDA"</x12ac:list>
        </mc:Choice>
        <mc:Fallback>
          <formula1>"ENTRADA,SALIDA"</formula1>
        </mc:Fallback>
      </mc:AlternateContent>
    </dataValidation>
    <dataValidation type="list" allowBlank="1" showInputMessage="1" showErrorMessage="1" sqref="D2:D1000" xr:uid="{FCF093E6-9F80-4490-8BF5-FFD6FF5E510D}">
      <formula1>"ENTRADA,SALIDA"</formula1>
    </dataValidation>
    <dataValidation type="decimal" operator="greaterThan" allowBlank="1" showInputMessage="1" showErrorMessage="1" sqref="E1:E1048576" xr:uid="{DA3D355F-19CF-4AE7-B4AC-2F5FD6E0DEEF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5F3B8A-01DB-4191-8A8C-672C192735F3}">
          <x14:formula1>
            <xm:f>USUARIOS!$B$2:$B$1000</xm:f>
          </x14:formula1>
          <xm:sqref>G1:G1048576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topLeftCell="B1" workbookViewId="0">
      <pane ySplit="1" topLeftCell="A2" activePane="bottomLeft" state="frozen"/>
      <selection pane="bottomLeft" activeCell="H33" sqref="H33"/>
    </sheetView>
  </sheetViews>
  <sheetFormatPr baseColWidth="10" defaultColWidth="8.7265625" defaultRowHeight="14.5" x14ac:dyDescent="0.35"/>
  <cols>
    <col min="1" max="1" width="20" customWidth="1"/>
    <col min="2" max="2" width="40" customWidth="1"/>
    <col min="3" max="7" width="14" customWidth="1"/>
    <col min="8" max="8" width="16" customWidth="1"/>
    <col min="9" max="9" width="18" customWidth="1"/>
    <col min="10" max="10" width="18" style="8" customWidth="1"/>
  </cols>
  <sheetData>
    <row r="1" spans="1:10" x14ac:dyDescent="0.35">
      <c r="A1" s="1" t="s">
        <v>1306</v>
      </c>
      <c r="B1" s="1" t="s">
        <v>1321</v>
      </c>
      <c r="C1" s="1" t="s">
        <v>4</v>
      </c>
      <c r="D1" s="1" t="s">
        <v>1322</v>
      </c>
      <c r="E1" s="1" t="s">
        <v>1323</v>
      </c>
      <c r="F1" s="1" t="s">
        <v>1324</v>
      </c>
      <c r="G1" s="1" t="s">
        <v>1325</v>
      </c>
      <c r="H1" s="9" t="s">
        <v>7</v>
      </c>
      <c r="I1" s="1" t="s">
        <v>1326</v>
      </c>
      <c r="J1" s="7" t="s">
        <v>1327</v>
      </c>
    </row>
    <row r="2" spans="1:10" x14ac:dyDescent="0.35">
      <c r="A2">
        <v>1795213</v>
      </c>
      <c r="B2" s="5" t="str">
        <f>IFERROR(VLOOKUP(A2,MATERIALES!$B:$I,2,FALSE),"")</f>
        <v>TUBERIA PEAD 4"</v>
      </c>
      <c r="C2" t="s">
        <v>9</v>
      </c>
      <c r="D2">
        <f>SUMIF(ENTRADAS!$C:$C,A2,ENTRADAS!$D:$D)</f>
        <v>10</v>
      </c>
      <c r="E2">
        <f>SUMIF(CONSUMOS!$C:$C,A2,CONSUMOS!$D:$D)</f>
        <v>3</v>
      </c>
      <c r="F2">
        <f>SUMIFS(AJUSTES!$E:$E,AJUSTES!$C:$C,A2,AJUSTES!$D:$D,"ENTRADA")-SUMIFS(AJUSTES!$E:$E,AJUSTES!$C:$C,A2,AJUSTES!$D:$D,"SALIDA")</f>
        <v>2</v>
      </c>
      <c r="G2">
        <f t="shared" ref="G2:G27" si="0">D2-E2+F2</f>
        <v>9</v>
      </c>
      <c r="H2">
        <f>IFERROR(VLOOKUP(A2,MATERIALES!$B:$I,7,FALSE),0)</f>
        <v>0</v>
      </c>
      <c r="I2" t="str">
        <f t="shared" ref="I2:I27" si="1">IF(G2&lt;=0,"AGOTADO",IF(G2&lt;=H2,"STOCK BAJO","OK"))</f>
        <v>OK</v>
      </c>
      <c r="J2" s="8">
        <f>G2*IFERROR(VLOOKUP(A2,MATERIALES!$B:$G,6,FALSE),0)</f>
        <v>4085640</v>
      </c>
    </row>
    <row r="3" spans="1:10" x14ac:dyDescent="0.35">
      <c r="A3">
        <v>1795393</v>
      </c>
      <c r="B3" s="5" t="str">
        <f>IFERROR(VLOOKUP(A3,MATERIALES!$B:$I,2,FALSE),"")</f>
        <v>TUBERIA PEAD 6"</v>
      </c>
      <c r="C3" t="s">
        <v>9</v>
      </c>
      <c r="D3">
        <f>SUMIF(ENTRADAS!$C:$C,A3,ENTRADAS!$D:$D)</f>
        <v>0</v>
      </c>
      <c r="E3">
        <f>SUMIF(CONSUMOS!$C:$C,A3,CONSUMOS!$D:$D)</f>
        <v>0</v>
      </c>
      <c r="F3">
        <f>SUMIFS(AJUSTES!$E:$E,AJUSTES!$C:$C,A3,AJUSTES!$D:$D,"ENTRADA")-SUMIFS(AJUSTES!$E:$E,AJUSTES!$C:$C,A3,AJUSTES!$D:$D,"SALIDA")</f>
        <v>0</v>
      </c>
      <c r="G3">
        <f t="shared" si="0"/>
        <v>0</v>
      </c>
      <c r="H3">
        <f>IFERROR(VLOOKUP(A3,MATERIALES!$B:$I,7,FALSE),0)</f>
        <v>0</v>
      </c>
      <c r="I3" t="str">
        <f t="shared" si="1"/>
        <v>AGOTADO</v>
      </c>
      <c r="J3" s="8">
        <f>G3*IFERROR(VLOOKUP(A3,MATERIALES!$B:$G,6,FALSE),0)</f>
        <v>0</v>
      </c>
    </row>
    <row r="4" spans="1:10" x14ac:dyDescent="0.35">
      <c r="A4">
        <v>1795573</v>
      </c>
      <c r="B4" s="5" t="str">
        <f>IFERROR(VLOOKUP(A4,MATERIALES!$B:$I,2,FALSE),"")</f>
        <v>TRAMO TUBERIA PEAD 4"</v>
      </c>
      <c r="C4" t="s">
        <v>11</v>
      </c>
      <c r="D4">
        <f>SUMIF(ENTRADAS!$C:$C,A4,ENTRADAS!$D:$D)</f>
        <v>0</v>
      </c>
      <c r="E4">
        <f>SUMIF(CONSUMOS!$C:$C,A4,CONSUMOS!$D:$D)</f>
        <v>0</v>
      </c>
      <c r="F4">
        <f>SUMIFS(AJUSTES!$E:$E,AJUSTES!$C:$C,A4,AJUSTES!$D:$D,"ENTRADA")-SUMIFS(AJUSTES!$E:$E,AJUSTES!$C:$C,A4,AJUSTES!$D:$D,"SALIDA")</f>
        <v>0</v>
      </c>
      <c r="G4">
        <f t="shared" si="0"/>
        <v>0</v>
      </c>
      <c r="H4">
        <f>IFERROR(VLOOKUP(A4,MATERIALES!$B:$I,7,FALSE),0)</f>
        <v>0</v>
      </c>
      <c r="I4" t="str">
        <f t="shared" si="1"/>
        <v>AGOTADO</v>
      </c>
      <c r="J4" s="8">
        <f>G4*IFERROR(VLOOKUP(A4,MATERIALES!$B:$G,6,FALSE),0)</f>
        <v>0</v>
      </c>
    </row>
    <row r="5" spans="1:10" x14ac:dyDescent="0.35">
      <c r="A5">
        <v>1795675</v>
      </c>
      <c r="B5" s="5" t="str">
        <f>IFERROR(VLOOKUP(A5,MATERIALES!$B:$I,2,FALSE),"")</f>
        <v>TRAMO TUBERIA PEAD 6"</v>
      </c>
      <c r="C5" t="s">
        <v>11</v>
      </c>
      <c r="D5">
        <f>SUMIF(ENTRADAS!$C:$C,A5,ENTRADAS!$D:$D)</f>
        <v>0</v>
      </c>
      <c r="E5">
        <f>SUMIF(CONSUMOS!$C:$C,A5,CONSUMOS!$D:$D)</f>
        <v>0</v>
      </c>
      <c r="F5">
        <f>SUMIFS(AJUSTES!$E:$E,AJUSTES!$C:$C,A5,AJUSTES!$D:$D,"ENTRADA")-SUMIFS(AJUSTES!$E:$E,AJUSTES!$C:$C,A5,AJUSTES!$D:$D,"SALIDA")</f>
        <v>0</v>
      </c>
      <c r="G5">
        <f t="shared" si="0"/>
        <v>0</v>
      </c>
      <c r="H5">
        <f>IFERROR(VLOOKUP(A5,MATERIALES!$B:$I,7,FALSE),0)</f>
        <v>0</v>
      </c>
      <c r="I5" t="str">
        <f t="shared" si="1"/>
        <v>AGOTADO</v>
      </c>
      <c r="J5" s="8">
        <f>G5*IFERROR(VLOOKUP(A5,MATERIALES!$B:$G,6,FALSE),0)</f>
        <v>0</v>
      </c>
    </row>
    <row r="6" spans="1:10" x14ac:dyDescent="0.35">
      <c r="A6">
        <v>1795676</v>
      </c>
      <c r="B6" s="5" t="str">
        <f>IFERROR(VLOOKUP(A6,MATERIALES!$B:$I,2,FALSE),"")</f>
        <v>TUBERIA PEAD 8"</v>
      </c>
      <c r="C6" t="s">
        <v>11</v>
      </c>
      <c r="D6">
        <f>SUMIF(ENTRADAS!$C:$C,A6,ENTRADAS!$D:$D)</f>
        <v>0</v>
      </c>
      <c r="E6">
        <f>SUMIF(CONSUMOS!$C:$C,A6,CONSUMOS!$D:$D)</f>
        <v>0</v>
      </c>
      <c r="F6">
        <f>SUMIFS(AJUSTES!$E:$E,AJUSTES!$C:$C,A6,AJUSTES!$D:$D,"ENTRADA")-SUMIFS(AJUSTES!$E:$E,AJUSTES!$C:$C,A6,AJUSTES!$D:$D,"SALIDA")</f>
        <v>0</v>
      </c>
      <c r="G6">
        <f t="shared" si="0"/>
        <v>0</v>
      </c>
      <c r="H6">
        <f>IFERROR(VLOOKUP(A6,MATERIALES!$B:$I,7,FALSE),0)</f>
        <v>0</v>
      </c>
      <c r="I6" t="str">
        <f t="shared" si="1"/>
        <v>AGOTADO</v>
      </c>
      <c r="J6" s="8">
        <f>G6*IFERROR(VLOOKUP(A6,MATERIALES!$B:$G,6,FALSE),0)</f>
        <v>0</v>
      </c>
    </row>
    <row r="7" spans="1:10" x14ac:dyDescent="0.35">
      <c r="A7">
        <v>1795677</v>
      </c>
      <c r="B7" s="5" t="str">
        <f>IFERROR(VLOOKUP(A7,MATERIALES!$B:$I,2,FALSE),"")</f>
        <v>TUBERIAPEAD 12"</v>
      </c>
      <c r="C7" t="s">
        <v>11</v>
      </c>
      <c r="D7">
        <f>SUMIF(ENTRADAS!$C:$C,A7,ENTRADAS!$D:$D)</f>
        <v>0</v>
      </c>
      <c r="E7">
        <f>SUMIF(CONSUMOS!$C:$C,A7,CONSUMOS!$D:$D)</f>
        <v>0</v>
      </c>
      <c r="F7">
        <f>SUMIFS(AJUSTES!$E:$E,AJUSTES!$C:$C,A7,AJUSTES!$D:$D,"ENTRADA")-SUMIFS(AJUSTES!$E:$E,AJUSTES!$C:$C,A7,AJUSTES!$D:$D,"SALIDA")</f>
        <v>0</v>
      </c>
      <c r="G7">
        <f t="shared" si="0"/>
        <v>0</v>
      </c>
      <c r="H7">
        <f>IFERROR(VLOOKUP(A7,MATERIALES!$B:$I,7,FALSE),0)</f>
        <v>0</v>
      </c>
      <c r="I7" t="str">
        <f t="shared" si="1"/>
        <v>AGOTADO</v>
      </c>
      <c r="J7" s="8">
        <f>G7*IFERROR(VLOOKUP(A7,MATERIALES!$B:$G,6,FALSE),0)</f>
        <v>0</v>
      </c>
    </row>
    <row r="8" spans="1:10" x14ac:dyDescent="0.35">
      <c r="A8">
        <v>1795773</v>
      </c>
      <c r="B8" s="5" t="str">
        <f>IFERROR(VLOOKUP(A8,MATERIALES!$B:$I,2,FALSE),"")</f>
        <v>UNION SPLIT 4"</v>
      </c>
      <c r="C8" t="s">
        <v>11</v>
      </c>
      <c r="D8">
        <f>SUMIF(ENTRADAS!$C:$C,A8,ENTRADAS!$D:$D)</f>
        <v>0</v>
      </c>
      <c r="E8">
        <f>SUMIF(CONSUMOS!$C:$C,A8,CONSUMOS!$D:$D)</f>
        <v>0</v>
      </c>
      <c r="F8">
        <f>SUMIFS(AJUSTES!$E:$E,AJUSTES!$C:$C,A8,AJUSTES!$D:$D,"ENTRADA")-SUMIFS(AJUSTES!$E:$E,AJUSTES!$C:$C,A8,AJUSTES!$D:$D,"SALIDA")</f>
        <v>0</v>
      </c>
      <c r="G8">
        <f t="shared" si="0"/>
        <v>0</v>
      </c>
      <c r="H8">
        <f>IFERROR(VLOOKUP(A8,MATERIALES!$B:$I,7,FALSE),0)</f>
        <v>0</v>
      </c>
      <c r="I8" t="str">
        <f t="shared" si="1"/>
        <v>AGOTADO</v>
      </c>
      <c r="J8" s="8">
        <f>G8*IFERROR(VLOOKUP(A8,MATERIALES!$B:$G,6,FALSE),0)</f>
        <v>0</v>
      </c>
    </row>
    <row r="9" spans="1:10" x14ac:dyDescent="0.35">
      <c r="A9">
        <v>1795780</v>
      </c>
      <c r="B9" s="5" t="str">
        <f>IFERROR(VLOOKUP(A9,MATERIALES!$B:$I,2,FALSE),"")</f>
        <v>UNION SPLIT 6"</v>
      </c>
      <c r="C9" t="s">
        <v>11</v>
      </c>
      <c r="D9">
        <f>SUMIF(ENTRADAS!$C:$C,A9,ENTRADAS!$D:$D)</f>
        <v>0</v>
      </c>
      <c r="E9">
        <f>SUMIF(CONSUMOS!$C:$C,A9,CONSUMOS!$D:$D)</f>
        <v>0</v>
      </c>
      <c r="F9">
        <f>SUMIFS(AJUSTES!$E:$E,AJUSTES!$C:$C,A9,AJUSTES!$D:$D,"ENTRADA")-SUMIFS(AJUSTES!$E:$E,AJUSTES!$C:$C,A9,AJUSTES!$D:$D,"SALIDA")</f>
        <v>0</v>
      </c>
      <c r="G9">
        <f t="shared" si="0"/>
        <v>0</v>
      </c>
      <c r="H9">
        <f>IFERROR(VLOOKUP(A9,MATERIALES!$B:$I,7,FALSE),0)</f>
        <v>0</v>
      </c>
      <c r="I9" t="str">
        <f t="shared" si="1"/>
        <v>AGOTADO</v>
      </c>
      <c r="J9" s="8">
        <f>G9*IFERROR(VLOOKUP(A9,MATERIALES!$B:$G,6,FALSE),0)</f>
        <v>0</v>
      </c>
    </row>
    <row r="10" spans="1:10" x14ac:dyDescent="0.35">
      <c r="A10">
        <v>1795781</v>
      </c>
      <c r="B10" s="5" t="str">
        <f>IFERROR(VLOOKUP(A10,MATERIALES!$B:$I,2,FALSE),"")</f>
        <v>UNION SPLIT 12"</v>
      </c>
      <c r="C10" t="s">
        <v>11</v>
      </c>
      <c r="D10">
        <f>SUMIF(ENTRADAS!$C:$C,A10,ENTRADAS!$D:$D)</f>
        <v>0</v>
      </c>
      <c r="E10">
        <f>SUMIF(CONSUMOS!$C:$C,A10,CONSUMOS!$D:$D)</f>
        <v>0</v>
      </c>
      <c r="F10">
        <f>SUMIFS(AJUSTES!$E:$E,AJUSTES!$C:$C,A10,AJUSTES!$D:$D,"ENTRADA")-SUMIFS(AJUSTES!$E:$E,AJUSTES!$C:$C,A10,AJUSTES!$D:$D,"SALIDA")</f>
        <v>0</v>
      </c>
      <c r="G10">
        <f t="shared" si="0"/>
        <v>0</v>
      </c>
      <c r="H10">
        <f>IFERROR(VLOOKUP(A10,MATERIALES!$B:$I,7,FALSE),0)</f>
        <v>0</v>
      </c>
      <c r="I10" t="str">
        <f t="shared" si="1"/>
        <v>AGOTADO</v>
      </c>
      <c r="J10" s="8">
        <f>G10*IFERROR(VLOOKUP(A10,MATERIALES!$B:$G,6,FALSE),0)</f>
        <v>0</v>
      </c>
    </row>
    <row r="11" spans="1:10" x14ac:dyDescent="0.35">
      <c r="A11">
        <v>1795782</v>
      </c>
      <c r="B11" s="5" t="str">
        <f>IFERROR(VLOOKUP(A11,MATERIALES!$B:$I,2,FALSE),"")</f>
        <v>TAPON PEAD 4"</v>
      </c>
      <c r="C11" t="s">
        <v>11</v>
      </c>
      <c r="D11">
        <f>SUMIF(ENTRADAS!$C:$C,A11,ENTRADAS!$D:$D)</f>
        <v>0</v>
      </c>
      <c r="E11">
        <f>SUMIF(CONSUMOS!$C:$C,A11,CONSUMOS!$D:$D)</f>
        <v>0</v>
      </c>
      <c r="F11">
        <f>SUMIFS(AJUSTES!$E:$E,AJUSTES!$C:$C,A11,AJUSTES!$D:$D,"ENTRADA")-SUMIFS(AJUSTES!$E:$E,AJUSTES!$C:$C,A11,AJUSTES!$D:$D,"SALIDA")</f>
        <v>0</v>
      </c>
      <c r="G11">
        <f t="shared" si="0"/>
        <v>0</v>
      </c>
      <c r="H11">
        <f>IFERROR(VLOOKUP(A11,MATERIALES!$B:$I,7,FALSE),0)</f>
        <v>0</v>
      </c>
      <c r="I11" t="str">
        <f t="shared" si="1"/>
        <v>AGOTADO</v>
      </c>
      <c r="J11" s="8">
        <f>G11*IFERROR(VLOOKUP(A11,MATERIALES!$B:$G,6,FALSE),0)</f>
        <v>0</v>
      </c>
    </row>
    <row r="12" spans="1:10" x14ac:dyDescent="0.35">
      <c r="A12">
        <v>1795783</v>
      </c>
      <c r="B12" s="5" t="str">
        <f>IFERROR(VLOOKUP(A12,MATERIALES!$B:$I,2,FALSE),"")</f>
        <v>TAPON PEAD 6"</v>
      </c>
      <c r="C12" t="s">
        <v>11</v>
      </c>
      <c r="D12">
        <f>SUMIF(ENTRADAS!$C:$C,A12,ENTRADAS!$D:$D)</f>
        <v>0</v>
      </c>
      <c r="E12">
        <f>SUMIF(CONSUMOS!$C:$C,A12,CONSUMOS!$D:$D)</f>
        <v>0</v>
      </c>
      <c r="F12">
        <f>SUMIFS(AJUSTES!$E:$E,AJUSTES!$C:$C,A12,AJUSTES!$D:$D,"ENTRADA")-SUMIFS(AJUSTES!$E:$E,AJUSTES!$C:$C,A12,AJUSTES!$D:$D,"SALIDA")</f>
        <v>0</v>
      </c>
      <c r="G12">
        <f t="shared" si="0"/>
        <v>0</v>
      </c>
      <c r="H12">
        <f>IFERROR(VLOOKUP(A12,MATERIALES!$B:$I,7,FALSE),0)</f>
        <v>0</v>
      </c>
      <c r="I12" t="str">
        <f t="shared" si="1"/>
        <v>AGOTADO</v>
      </c>
      <c r="J12" s="8">
        <f>G12*IFERROR(VLOOKUP(A12,MATERIALES!$B:$G,6,FALSE),0)</f>
        <v>0</v>
      </c>
    </row>
    <row r="13" spans="1:10" x14ac:dyDescent="0.35">
      <c r="A13">
        <v>1795794</v>
      </c>
      <c r="B13" s="5" t="str">
        <f>IFERROR(VLOOKUP(A13,MATERIALES!$B:$I,2,FALSE),"")</f>
        <v>YEE PEAD 4"</v>
      </c>
      <c r="C13" t="s">
        <v>11</v>
      </c>
      <c r="D13">
        <f>SUMIF(ENTRADAS!$C:$C,A13,ENTRADAS!$D:$D)</f>
        <v>0</v>
      </c>
      <c r="E13">
        <f>SUMIF(CONSUMOS!$C:$C,A13,CONSUMOS!$D:$D)</f>
        <v>0</v>
      </c>
      <c r="F13">
        <f>SUMIFS(AJUSTES!$E:$E,AJUSTES!$C:$C,A13,AJUSTES!$D:$D,"ENTRADA")-SUMIFS(AJUSTES!$E:$E,AJUSTES!$C:$C,A13,AJUSTES!$D:$D,"SALIDA")</f>
        <v>0</v>
      </c>
      <c r="G13">
        <f t="shared" si="0"/>
        <v>0</v>
      </c>
      <c r="H13">
        <f>IFERROR(VLOOKUP(A13,MATERIALES!$B:$I,7,FALSE),0)</f>
        <v>0</v>
      </c>
      <c r="I13" t="str">
        <f t="shared" si="1"/>
        <v>AGOTADO</v>
      </c>
      <c r="J13" s="8">
        <f>G13*IFERROR(VLOOKUP(A13,MATERIALES!$B:$G,6,FALSE),0)</f>
        <v>0</v>
      </c>
    </row>
    <row r="14" spans="1:10" x14ac:dyDescent="0.35">
      <c r="A14">
        <v>1795795</v>
      </c>
      <c r="B14" s="5" t="str">
        <f>IFERROR(VLOOKUP(A14,MATERIALES!$B:$I,2,FALSE),"")</f>
        <v>YEE PEAD 6" - 4"</v>
      </c>
      <c r="C14" t="s">
        <v>11</v>
      </c>
      <c r="D14">
        <f>SUMIF(ENTRADAS!$C:$C,A14,ENTRADAS!$D:$D)</f>
        <v>0</v>
      </c>
      <c r="E14">
        <f>SUMIF(CONSUMOS!$C:$C,A14,CONSUMOS!$D:$D)</f>
        <v>0</v>
      </c>
      <c r="F14">
        <f>SUMIFS(AJUSTES!$E:$E,AJUSTES!$C:$C,A14,AJUSTES!$D:$D,"ENTRADA")-SUMIFS(AJUSTES!$E:$E,AJUSTES!$C:$C,A14,AJUSTES!$D:$D,"SALIDA")</f>
        <v>0</v>
      </c>
      <c r="G14">
        <f t="shared" si="0"/>
        <v>0</v>
      </c>
      <c r="H14">
        <f>IFERROR(VLOOKUP(A14,MATERIALES!$B:$I,7,FALSE),0)</f>
        <v>0</v>
      </c>
      <c r="I14" t="str">
        <f t="shared" si="1"/>
        <v>AGOTADO</v>
      </c>
      <c r="J14" s="8">
        <f>G14*IFERROR(VLOOKUP(A14,MATERIALES!$B:$G,6,FALSE),0)</f>
        <v>0</v>
      </c>
    </row>
    <row r="15" spans="1:10" x14ac:dyDescent="0.35">
      <c r="A15">
        <v>1795796</v>
      </c>
      <c r="B15" s="5" t="str">
        <f>IFERROR(VLOOKUP(A15,MATERIALES!$B:$I,2,FALSE),"")</f>
        <v>YEE PEAD 12"- 6"</v>
      </c>
      <c r="C15" t="s">
        <v>11</v>
      </c>
      <c r="D15">
        <f>SUMIF(ENTRADAS!$C:$C,A15,ENTRADAS!$D:$D)</f>
        <v>0</v>
      </c>
      <c r="E15">
        <f>SUMIF(CONSUMOS!$C:$C,A15,CONSUMOS!$D:$D)</f>
        <v>0</v>
      </c>
      <c r="F15">
        <f>SUMIFS(AJUSTES!$E:$E,AJUSTES!$C:$C,A15,AJUSTES!$D:$D,"ENTRADA")-SUMIFS(AJUSTES!$E:$E,AJUSTES!$C:$C,A15,AJUSTES!$D:$D,"SALIDA")</f>
        <v>0</v>
      </c>
      <c r="G15">
        <f t="shared" si="0"/>
        <v>0</v>
      </c>
      <c r="H15">
        <f>IFERROR(VLOOKUP(A15,MATERIALES!$B:$I,7,FALSE),0)</f>
        <v>0</v>
      </c>
      <c r="I15" t="str">
        <f t="shared" si="1"/>
        <v>AGOTADO</v>
      </c>
      <c r="J15" s="8">
        <f>G15*IFERROR(VLOOKUP(A15,MATERIALES!$B:$G,6,FALSE),0)</f>
        <v>0</v>
      </c>
    </row>
    <row r="16" spans="1:10" x14ac:dyDescent="0.35">
      <c r="A16">
        <v>1795797</v>
      </c>
      <c r="B16" s="5" t="str">
        <f>IFERROR(VLOOKUP(A16,MATERIALES!$B:$I,2,FALSE),"")</f>
        <v>REDUCCION 6" - 4"</v>
      </c>
      <c r="C16" t="s">
        <v>11</v>
      </c>
      <c r="D16">
        <f>SUMIF(ENTRADAS!$C:$C,A16,ENTRADAS!$D:$D)</f>
        <v>0</v>
      </c>
      <c r="E16">
        <f>SUMIF(CONSUMOS!$C:$C,A16,CONSUMOS!$D:$D)</f>
        <v>0</v>
      </c>
      <c r="F16">
        <f>SUMIFS(AJUSTES!$E:$E,AJUSTES!$C:$C,A16,AJUSTES!$D:$D,"ENTRADA")-SUMIFS(AJUSTES!$E:$E,AJUSTES!$C:$C,A16,AJUSTES!$D:$D,"SALIDA")</f>
        <v>0</v>
      </c>
      <c r="G16">
        <f t="shared" si="0"/>
        <v>0</v>
      </c>
      <c r="H16">
        <f>IFERROR(VLOOKUP(A16,MATERIALES!$B:$I,7,FALSE),0)</f>
        <v>0</v>
      </c>
      <c r="I16" t="str">
        <f t="shared" si="1"/>
        <v>AGOTADO</v>
      </c>
      <c r="J16" s="8">
        <f>G16*IFERROR(VLOOKUP(A16,MATERIALES!$B:$G,6,FALSE),0)</f>
        <v>0</v>
      </c>
    </row>
    <row r="17" spans="1:10" x14ac:dyDescent="0.35">
      <c r="A17">
        <v>1795798</v>
      </c>
      <c r="B17" s="5" t="str">
        <f>IFERROR(VLOOKUP(A17,MATERIALES!$B:$I,2,FALSE),"")</f>
        <v>CABEZAL PARA TUBERIA PEAD</v>
      </c>
      <c r="C17" t="s">
        <v>11</v>
      </c>
      <c r="D17">
        <f>SUMIF(ENTRADAS!$C:$C,A17,ENTRADAS!$D:$D)</f>
        <v>0</v>
      </c>
      <c r="E17">
        <f>SUMIF(CONSUMOS!$C:$C,A17,CONSUMOS!$D:$D)</f>
        <v>0</v>
      </c>
      <c r="F17">
        <f>SUMIFS(AJUSTES!$E:$E,AJUSTES!$C:$C,A17,AJUSTES!$D:$D,"ENTRADA")-SUMIFS(AJUSTES!$E:$E,AJUSTES!$C:$C,A17,AJUSTES!$D:$D,"SALIDA")</f>
        <v>0</v>
      </c>
      <c r="G17">
        <f t="shared" si="0"/>
        <v>0</v>
      </c>
      <c r="H17">
        <f>IFERROR(VLOOKUP(A17,MATERIALES!$B:$I,7,FALSE),0)</f>
        <v>0</v>
      </c>
      <c r="I17" t="str">
        <f t="shared" si="1"/>
        <v>AGOTADO</v>
      </c>
      <c r="J17" s="8">
        <f>G17*IFERROR(VLOOKUP(A17,MATERIALES!$B:$G,6,FALSE),0)</f>
        <v>0</v>
      </c>
    </row>
    <row r="18" spans="1:10" x14ac:dyDescent="0.35">
      <c r="A18">
        <v>1795799</v>
      </c>
      <c r="B18" s="5" t="str">
        <f>IFERROR(VLOOKUP(A18,MATERIALES!$B:$I,2,FALSE),"")</f>
        <v>CAMARA DE INSPECCION 40"</v>
      </c>
      <c r="C18" t="s">
        <v>11</v>
      </c>
      <c r="D18">
        <f>SUMIF(ENTRADAS!$C:$C,A18,ENTRADAS!$D:$D)</f>
        <v>0</v>
      </c>
      <c r="E18">
        <f>SUMIF(CONSUMOS!$C:$C,A18,CONSUMOS!$D:$D)</f>
        <v>0</v>
      </c>
      <c r="F18">
        <f>SUMIFS(AJUSTES!$E:$E,AJUSTES!$C:$C,A18,AJUSTES!$D:$D,"ENTRADA")-SUMIFS(AJUSTES!$E:$E,AJUSTES!$C:$C,A18,AJUSTES!$D:$D,"SALIDA")</f>
        <v>0</v>
      </c>
      <c r="G18">
        <f t="shared" si="0"/>
        <v>0</v>
      </c>
      <c r="H18">
        <f>IFERROR(VLOOKUP(A18,MATERIALES!$B:$I,7,FALSE),0)</f>
        <v>0</v>
      </c>
      <c r="I18" t="str">
        <f t="shared" si="1"/>
        <v>AGOTADO</v>
      </c>
      <c r="J18" s="8">
        <f>G18*IFERROR(VLOOKUP(A18,MATERIALES!$B:$G,6,FALSE),0)</f>
        <v>0</v>
      </c>
    </row>
    <row r="19" spans="1:10" x14ac:dyDescent="0.35">
      <c r="A19">
        <v>1795800</v>
      </c>
      <c r="B19" s="5" t="str">
        <f>IFERROR(VLOOKUP(A19,MATERIALES!$B:$I,2,FALSE),"")</f>
        <v>CAMARA DE INSPECCION 48"</v>
      </c>
      <c r="C19" t="s">
        <v>11</v>
      </c>
      <c r="D19">
        <f>SUMIF(ENTRADAS!$C:$C,A19,ENTRADAS!$D:$D)</f>
        <v>0</v>
      </c>
      <c r="E19">
        <f>SUMIF(CONSUMOS!$C:$C,A19,CONSUMOS!$D:$D)</f>
        <v>0</v>
      </c>
      <c r="F19">
        <f>SUMIFS(AJUSTES!$E:$E,AJUSTES!$C:$C,A19,AJUSTES!$D:$D,"ENTRADA")-SUMIFS(AJUSTES!$E:$E,AJUSTES!$C:$C,A19,AJUSTES!$D:$D,"SALIDA")</f>
        <v>0</v>
      </c>
      <c r="G19">
        <f t="shared" si="0"/>
        <v>0</v>
      </c>
      <c r="H19">
        <f>IFERROR(VLOOKUP(A19,MATERIALES!$B:$I,7,FALSE),0)</f>
        <v>0</v>
      </c>
      <c r="I19" t="str">
        <f t="shared" si="1"/>
        <v>AGOTADO</v>
      </c>
      <c r="J19" s="8">
        <f>G19*IFERROR(VLOOKUP(A19,MATERIALES!$B:$G,6,FALSE),0)</f>
        <v>0</v>
      </c>
    </row>
    <row r="20" spans="1:10" x14ac:dyDescent="0.35">
      <c r="A20">
        <v>1798654</v>
      </c>
      <c r="B20" s="5" t="str">
        <f>IFERROR(VLOOKUP(A20,MATERIALES!$B:$I,2,FALSE),"")</f>
        <v>TUBERIA PEAD 8"</v>
      </c>
      <c r="C20" t="s">
        <v>11</v>
      </c>
      <c r="D20">
        <f>SUMIF(ENTRADAS!$C:$C,A20,ENTRADAS!$D:$D)</f>
        <v>0</v>
      </c>
      <c r="E20">
        <f>SUMIF(CONSUMOS!$C:$C,A20,CONSUMOS!$D:$D)</f>
        <v>0</v>
      </c>
      <c r="F20">
        <f>SUMIFS(AJUSTES!$E:$E,AJUSTES!$C:$C,A20,AJUSTES!$D:$D,"ENTRADA")-SUMIFS(AJUSTES!$E:$E,AJUSTES!$C:$C,A20,AJUSTES!$D:$D,"SALIDA")</f>
        <v>0</v>
      </c>
      <c r="G20">
        <f t="shared" si="0"/>
        <v>0</v>
      </c>
      <c r="H20">
        <f>IFERROR(VLOOKUP(A20,MATERIALES!$B:$I,7,FALSE),0)</f>
        <v>0</v>
      </c>
      <c r="I20" t="str">
        <f t="shared" si="1"/>
        <v>AGOTADO</v>
      </c>
      <c r="J20" s="8">
        <f>G20*IFERROR(VLOOKUP(A20,MATERIALES!$B:$G,6,FALSE),0)</f>
        <v>0</v>
      </c>
    </row>
    <row r="21" spans="1:10" x14ac:dyDescent="0.35">
      <c r="A21">
        <v>1798443</v>
      </c>
      <c r="B21" s="5" t="str">
        <f>IFERROR(VLOOKUP(A21,MATERIALES!$B:$I,2,FALSE),"")</f>
        <v>TRAMO TUBERIA PEAD 6"</v>
      </c>
      <c r="C21" t="s">
        <v>11</v>
      </c>
      <c r="D21">
        <f>SUMIF(ENTRADAS!$C:$C,A21,ENTRADAS!$D:$D)</f>
        <v>0</v>
      </c>
      <c r="E21">
        <f>SUMIF(CONSUMOS!$C:$C,A21,CONSUMOS!$D:$D)</f>
        <v>0</v>
      </c>
      <c r="F21">
        <f>SUMIFS(AJUSTES!$E:$E,AJUSTES!$C:$C,A21,AJUSTES!$D:$D,"ENTRADA")-SUMIFS(AJUSTES!$E:$E,AJUSTES!$C:$C,A21,AJUSTES!$D:$D,"SALIDA")</f>
        <v>0</v>
      </c>
      <c r="G21">
        <f t="shared" si="0"/>
        <v>0</v>
      </c>
      <c r="H21">
        <f>IFERROR(VLOOKUP(A21,MATERIALES!$B:$I,7,FALSE),0)</f>
        <v>0</v>
      </c>
      <c r="I21" t="str">
        <f t="shared" si="1"/>
        <v>AGOTADO</v>
      </c>
      <c r="J21" s="8">
        <f>G21*IFERROR(VLOOKUP(A21,MATERIALES!$B:$G,6,FALSE),0)</f>
        <v>0</v>
      </c>
    </row>
    <row r="22" spans="1:10" x14ac:dyDescent="0.35">
      <c r="A22">
        <v>1798664</v>
      </c>
      <c r="B22" s="5" t="str">
        <f>IFERROR(VLOOKUP(A22,MATERIALES!$B:$I,2,FALSE),"")</f>
        <v>CAMARA DE INSPECCION 31"</v>
      </c>
      <c r="C22" t="s">
        <v>11</v>
      </c>
      <c r="D22">
        <f>SUMIF(ENTRADAS!$C:$C,A22,ENTRADAS!$D:$D)</f>
        <v>0</v>
      </c>
      <c r="E22">
        <f>SUMIF(CONSUMOS!$C:$C,A22,CONSUMOS!$D:$D)</f>
        <v>0</v>
      </c>
      <c r="F22">
        <f>SUMIFS(AJUSTES!$E:$E,AJUSTES!$C:$C,A22,AJUSTES!$D:$D,"ENTRADA")-SUMIFS(AJUSTES!$E:$E,AJUSTES!$C:$C,A22,AJUSTES!$D:$D,"SALIDA")</f>
        <v>0</v>
      </c>
      <c r="G22">
        <f t="shared" si="0"/>
        <v>0</v>
      </c>
      <c r="H22">
        <f>IFERROR(VLOOKUP(A22,MATERIALES!$B:$I,7,FALSE),0)</f>
        <v>0</v>
      </c>
      <c r="I22" t="str">
        <f t="shared" si="1"/>
        <v>AGOTADO</v>
      </c>
      <c r="J22" s="8">
        <f>G22*IFERROR(VLOOKUP(A22,MATERIALES!$B:$G,6,FALSE),0)</f>
        <v>0</v>
      </c>
    </row>
    <row r="23" spans="1:10" x14ac:dyDescent="0.35">
      <c r="A23">
        <v>1798665</v>
      </c>
      <c r="B23" s="5" t="str">
        <f>IFERROR(VLOOKUP(A23,MATERIALES!$B:$I,2,FALSE),"")</f>
        <v>REDUCCION PARA TUBERIA PEAD 8" - 6"</v>
      </c>
      <c r="C23" t="s">
        <v>11</v>
      </c>
      <c r="D23">
        <f>SUMIF(ENTRADAS!$C:$C,A23,ENTRADAS!$D:$D)</f>
        <v>0</v>
      </c>
      <c r="E23">
        <f>SUMIF(CONSUMOS!$C:$C,A23,CONSUMOS!$D:$D)</f>
        <v>0</v>
      </c>
      <c r="F23">
        <f>SUMIFS(AJUSTES!$E:$E,AJUSTES!$C:$C,A23,AJUSTES!$D:$D,"ENTRADA")-SUMIFS(AJUSTES!$E:$E,AJUSTES!$C:$C,A23,AJUSTES!$D:$D,"SALIDA")</f>
        <v>0</v>
      </c>
      <c r="G23">
        <f t="shared" si="0"/>
        <v>0</v>
      </c>
      <c r="H23">
        <f>IFERROR(VLOOKUP(A23,MATERIALES!$B:$I,7,FALSE),0)</f>
        <v>0</v>
      </c>
      <c r="I23" t="str">
        <f t="shared" si="1"/>
        <v>AGOTADO</v>
      </c>
      <c r="J23" s="8">
        <f>G23*IFERROR(VLOOKUP(A23,MATERIALES!$B:$G,6,FALSE),0)</f>
        <v>0</v>
      </c>
    </row>
    <row r="24" spans="1:10" x14ac:dyDescent="0.35">
      <c r="A24">
        <v>1798666</v>
      </c>
      <c r="B24" s="5" t="str">
        <f>IFERROR(VLOOKUP(A24,MATERIALES!$B:$I,2,FALSE),"")</f>
        <v>REDUCCION PARA TUBERIA PEAD 6" - 4"</v>
      </c>
      <c r="C24" t="s">
        <v>11</v>
      </c>
      <c r="D24">
        <f>SUMIF(ENTRADAS!$C:$C,A24,ENTRADAS!$D:$D)</f>
        <v>0</v>
      </c>
      <c r="E24">
        <f>SUMIF(CONSUMOS!$C:$C,A24,CONSUMOS!$D:$D)</f>
        <v>0</v>
      </c>
      <c r="F24">
        <f>SUMIFS(AJUSTES!$E:$E,AJUSTES!$C:$C,A24,AJUSTES!$D:$D,"ENTRADA")-SUMIFS(AJUSTES!$E:$E,AJUSTES!$C:$C,A24,AJUSTES!$D:$D,"SALIDA")</f>
        <v>0</v>
      </c>
      <c r="G24">
        <f t="shared" si="0"/>
        <v>0</v>
      </c>
      <c r="H24">
        <f>IFERROR(VLOOKUP(A24,MATERIALES!$B:$I,7,FALSE),0)</f>
        <v>0</v>
      </c>
      <c r="I24" t="str">
        <f t="shared" si="1"/>
        <v>AGOTADO</v>
      </c>
      <c r="J24" s="8">
        <f>G24*IFERROR(VLOOKUP(A24,MATERIALES!$B:$G,6,FALSE),0)</f>
        <v>0</v>
      </c>
    </row>
    <row r="25" spans="1:10" x14ac:dyDescent="0.35">
      <c r="A25">
        <v>1798980</v>
      </c>
      <c r="B25" s="4" t="str">
        <f>IFERROR(VLOOKUP(A25,MATERIALES!$B:$I,2,FALSE),"")</f>
        <v xml:space="preserve">SEMICODO 45° 4" TUBERIA PEAD </v>
      </c>
      <c r="C25" t="s">
        <v>11</v>
      </c>
      <c r="D25">
        <f>SUMIF(ENTRADAS!$C:$C,A25,ENTRADAS!$D:$D)</f>
        <v>0</v>
      </c>
      <c r="E25">
        <f>SUMIF(CONSUMOS!$C:$C,A25,CONSUMOS!$D:$D)</f>
        <v>0</v>
      </c>
      <c r="F25">
        <f>SUMIFS(AJUSTES!$E:$E,AJUSTES!$C:$C,A25,AJUSTES!$D:$D,"ENTRADA")-SUMIFS(AJUSTES!$E:$E,AJUSTES!$C:$C,A25,AJUSTES!$D:$D,"SALIDA")</f>
        <v>0</v>
      </c>
      <c r="G25">
        <f t="shared" si="0"/>
        <v>0</v>
      </c>
      <c r="H25">
        <f>IFERROR(VLOOKUP(A25,MATERIALES!$B:$I,7,FALSE),0)</f>
        <v>0</v>
      </c>
      <c r="I25" t="str">
        <f t="shared" si="1"/>
        <v>AGOTADO</v>
      </c>
      <c r="J25" s="8">
        <f>G25*IFERROR(VLOOKUP(A25,MATERIALES!$B:$G,6,FALSE),0)</f>
        <v>0</v>
      </c>
    </row>
    <row r="26" spans="1:10" x14ac:dyDescent="0.35">
      <c r="A26">
        <v>1798981</v>
      </c>
      <c r="B26" s="4" t="str">
        <f>IFERROR(VLOOKUP(A26,MATERIALES!$B:$I,2,FALSE),"")</f>
        <v xml:space="preserve">SEMICODO 45° 6" TUBERIA PEAD </v>
      </c>
      <c r="C26" t="s">
        <v>11</v>
      </c>
      <c r="D26">
        <f>SUMIF(ENTRADAS!$C:$C,A26,ENTRADAS!$D:$D)</f>
        <v>0</v>
      </c>
      <c r="E26">
        <f>SUMIF(CONSUMOS!$C:$C,A26,CONSUMOS!$D:$D)</f>
        <v>0</v>
      </c>
      <c r="F26">
        <f>SUMIFS(AJUSTES!$E:$E,AJUSTES!$C:$C,A26,AJUSTES!$D:$D,"ENTRADA")-SUMIFS(AJUSTES!$E:$E,AJUSTES!$C:$C,A26,AJUSTES!$D:$D,"SALIDA")</f>
        <v>0</v>
      </c>
      <c r="G26">
        <f t="shared" si="0"/>
        <v>0</v>
      </c>
      <c r="H26">
        <f>IFERROR(VLOOKUP(A26,MATERIALES!$B:$I,7,FALSE),0)</f>
        <v>0</v>
      </c>
      <c r="I26" t="str">
        <f t="shared" si="1"/>
        <v>AGOTADO</v>
      </c>
      <c r="J26" s="8">
        <f>G26*IFERROR(VLOOKUP(A26,MATERIALES!$B:$G,6,FALSE),0)</f>
        <v>0</v>
      </c>
    </row>
    <row r="27" spans="1:10" x14ac:dyDescent="0.35">
      <c r="A27">
        <v>1798982</v>
      </c>
      <c r="B27" s="4" t="str">
        <f>IFERROR(VLOOKUP(A27,MATERIALES!$B:$I,2,FALSE),"")</f>
        <v xml:space="preserve">SEMICODO 45° 8" TUBERIA PEAD </v>
      </c>
      <c r="C27" t="s">
        <v>11</v>
      </c>
      <c r="D27">
        <f>SUMIF(ENTRADAS!$C:$C,A27,ENTRADAS!$D:$D)</f>
        <v>0</v>
      </c>
      <c r="E27">
        <f>SUMIF(CONSUMOS!$C:$C,A27,CONSUMOS!$D:$D)</f>
        <v>0</v>
      </c>
      <c r="F27">
        <f>SUMIFS(AJUSTES!$E:$E,AJUSTES!$C:$C,A27,AJUSTES!$D:$D,"ENTRADA")-SUMIFS(AJUSTES!$E:$E,AJUSTES!$C:$C,A27,AJUSTES!$D:$D,"SALIDA")</f>
        <v>0</v>
      </c>
      <c r="G27">
        <f t="shared" si="0"/>
        <v>0</v>
      </c>
      <c r="H27">
        <f>IFERROR(VLOOKUP(A27,MATERIALES!$B:$I,7,FALSE),0)</f>
        <v>0</v>
      </c>
      <c r="I27" t="str">
        <f t="shared" si="1"/>
        <v>AGOTADO</v>
      </c>
      <c r="J27" s="8">
        <f>G27*IFERROR(VLOOKUP(A27,MATERIALES!$B:$G,6,FALSE),0)</f>
        <v>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/>
  </sheetViews>
  <sheetFormatPr baseColWidth="10" defaultColWidth="8.7265625" defaultRowHeight="14.5" x14ac:dyDescent="0.35"/>
  <cols>
    <col min="1" max="1" width="20" customWidth="1"/>
    <col min="2" max="2" width="80" customWidth="1"/>
  </cols>
  <sheetData>
    <row r="1" spans="1:2" ht="18.5" x14ac:dyDescent="0.45">
      <c r="A1" s="2" t="s">
        <v>1328</v>
      </c>
    </row>
    <row r="3" spans="1:2" x14ac:dyDescent="0.35">
      <c r="A3" s="3" t="s">
        <v>1329</v>
      </c>
      <c r="B3" t="s">
        <v>1330</v>
      </c>
    </row>
    <row r="4" spans="1:2" x14ac:dyDescent="0.35">
      <c r="A4" s="3" t="s">
        <v>1331</v>
      </c>
      <c r="B4" t="s">
        <v>1332</v>
      </c>
    </row>
    <row r="5" spans="1:2" x14ac:dyDescent="0.35">
      <c r="A5" s="3" t="s">
        <v>1333</v>
      </c>
      <c r="B5" t="s">
        <v>1334</v>
      </c>
    </row>
    <row r="6" spans="1:2" x14ac:dyDescent="0.35">
      <c r="A6" s="3" t="s">
        <v>1322</v>
      </c>
      <c r="B6" t="s">
        <v>1335</v>
      </c>
    </row>
    <row r="7" spans="1:2" x14ac:dyDescent="0.35">
      <c r="A7" s="3" t="s">
        <v>1323</v>
      </c>
      <c r="B7" t="s">
        <v>1336</v>
      </c>
    </row>
    <row r="8" spans="1:2" x14ac:dyDescent="0.35">
      <c r="A8" s="3" t="s">
        <v>1324</v>
      </c>
      <c r="B8" t="s">
        <v>1337</v>
      </c>
    </row>
    <row r="9" spans="1:2" x14ac:dyDescent="0.35">
      <c r="A9" s="3" t="s">
        <v>1338</v>
      </c>
      <c r="B9" t="s">
        <v>1339</v>
      </c>
    </row>
    <row r="10" spans="1:2" x14ac:dyDescent="0.35">
      <c r="A10" s="3" t="s">
        <v>1340</v>
      </c>
      <c r="B10" t="s">
        <v>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MATERIALES</vt:lpstr>
      <vt:lpstr>HACIENDAS</vt:lpstr>
      <vt:lpstr>USUARIOS</vt:lpstr>
      <vt:lpstr>ENTRADAS</vt:lpstr>
      <vt:lpstr>CONSUMOS</vt:lpstr>
      <vt:lpstr>AJUSTES</vt:lpstr>
      <vt:lpstr>INVENTARIO</vt:lpstr>
      <vt:lpstr>LEEME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Dario Villalobos Gomez</cp:lastModifiedBy>
  <dcterms:created xsi:type="dcterms:W3CDTF">2026-09-02T14:07:57Z</dcterms:created>
  <dcterms:modified xsi:type="dcterms:W3CDTF">2026-09-03T23:34:36Z</dcterms:modified>
</cp:coreProperties>
</file>